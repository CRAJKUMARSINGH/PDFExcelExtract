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LEGAL CONSULTANCY\PUNJAPUR\PADLI BRIDGE BILL\"/>
    </mc:Choice>
  </mc:AlternateContent>
  <bookViews>
    <workbookView xWindow="0" yWindow="0" windowWidth="16380" windowHeight="8190" tabRatio="500"/>
  </bookViews>
  <sheets>
    <sheet name="GF1_ABS" sheetId="1" r:id="rId1"/>
    <sheet name="GF1_MES" sheetId="2" r:id="rId2"/>
  </sheets>
  <definedNames>
    <definedName name="_xlnm.Print_Titles" localSheetId="0">GF1_ABS!$3:$3</definedName>
    <definedName name="_xlnm.Print_Titles" localSheetId="1">GF1_MES!$3:$3</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109" i="2" l="1"/>
  <c r="K110" i="2" s="1"/>
  <c r="K106" i="2"/>
  <c r="K107" i="2" s="1"/>
  <c r="C20" i="1" s="1"/>
  <c r="G20" i="1" s="1"/>
  <c r="K104" i="2"/>
  <c r="K103" i="2"/>
  <c r="K101" i="2"/>
  <c r="K100" i="2"/>
  <c r="K98" i="2"/>
  <c r="C17" i="1" s="1"/>
  <c r="G17" i="1" s="1"/>
  <c r="K95" i="2"/>
  <c r="K94" i="2"/>
  <c r="K93" i="2"/>
  <c r="K96" i="2" s="1"/>
  <c r="C16" i="1" s="1"/>
  <c r="G16" i="1" s="1"/>
  <c r="K90" i="2"/>
  <c r="K91" i="2" s="1"/>
  <c r="C15" i="1" s="1"/>
  <c r="G15" i="1" s="1"/>
  <c r="K89" i="2"/>
  <c r="K86" i="2"/>
  <c r="K87" i="2" s="1"/>
  <c r="C14" i="1" s="1"/>
  <c r="G14" i="1" s="1"/>
  <c r="K85" i="2"/>
  <c r="K84" i="2"/>
  <c r="K83" i="2"/>
  <c r="K82" i="2"/>
  <c r="K81" i="2"/>
  <c r="K78" i="2"/>
  <c r="K77" i="2"/>
  <c r="K76" i="2"/>
  <c r="K75" i="2"/>
  <c r="K74" i="2"/>
  <c r="K73" i="2"/>
  <c r="K72" i="2"/>
  <c r="K71" i="2"/>
  <c r="K70" i="2"/>
  <c r="K79" i="2" s="1"/>
  <c r="C13" i="1" s="1"/>
  <c r="G13" i="1" s="1"/>
  <c r="K66" i="2"/>
  <c r="K65" i="2"/>
  <c r="K67" i="2" s="1"/>
  <c r="K68" i="2" s="1"/>
  <c r="C12" i="1" s="1"/>
  <c r="G12" i="1" s="1"/>
  <c r="K62" i="2"/>
  <c r="K61" i="2"/>
  <c r="K60" i="2"/>
  <c r="K59" i="2"/>
  <c r="K58" i="2"/>
  <c r="K57" i="2"/>
  <c r="K56" i="2"/>
  <c r="K55" i="2"/>
  <c r="K54" i="2"/>
  <c r="K63" i="2" s="1"/>
  <c r="C11" i="1" s="1"/>
  <c r="G11" i="1" s="1"/>
  <c r="K51" i="2"/>
  <c r="K50" i="2"/>
  <c r="K49" i="2"/>
  <c r="K48" i="2"/>
  <c r="K47" i="2"/>
  <c r="K52" i="2" s="1"/>
  <c r="C10" i="1" s="1"/>
  <c r="G10" i="1" s="1"/>
  <c r="K43" i="2"/>
  <c r="K42" i="2"/>
  <c r="K44" i="2" s="1"/>
  <c r="K45" i="2" s="1"/>
  <c r="C9" i="1" s="1"/>
  <c r="G9" i="1" s="1"/>
  <c r="K39" i="2"/>
  <c r="K38" i="2"/>
  <c r="K37" i="2"/>
  <c r="K36" i="2"/>
  <c r="K35" i="2"/>
  <c r="K34" i="2"/>
  <c r="K33" i="2"/>
  <c r="K40" i="2" s="1"/>
  <c r="C8" i="1" s="1"/>
  <c r="G8" i="1" s="1"/>
  <c r="K31" i="2"/>
  <c r="C7" i="1" s="1"/>
  <c r="G7" i="1" s="1"/>
  <c r="K30" i="2"/>
  <c r="K29" i="2"/>
  <c r="K28" i="2"/>
  <c r="K27" i="2"/>
  <c r="K26" i="2"/>
  <c r="K23" i="2"/>
  <c r="K22" i="2"/>
  <c r="K21" i="2"/>
  <c r="K20" i="2"/>
  <c r="K19" i="2"/>
  <c r="K24" i="2" s="1"/>
  <c r="C6" i="1" s="1"/>
  <c r="G6" i="1" s="1"/>
  <c r="K16" i="2"/>
  <c r="K15" i="2"/>
  <c r="K14" i="2"/>
  <c r="K13" i="2"/>
  <c r="K17" i="2" s="1"/>
  <c r="C5" i="1" s="1"/>
  <c r="G5" i="1" s="1"/>
  <c r="K12" i="2"/>
  <c r="K9" i="2"/>
  <c r="K8" i="2"/>
  <c r="K7" i="2"/>
  <c r="K6" i="2"/>
  <c r="K5" i="2"/>
  <c r="K10" i="2" s="1"/>
  <c r="C4" i="1" s="1"/>
  <c r="G4" i="1" s="1"/>
  <c r="C19" i="1"/>
  <c r="G19" i="1" s="1"/>
  <c r="C18" i="1"/>
  <c r="G18" i="1" s="1"/>
  <c r="A1" i="1"/>
  <c r="G22" i="1" l="1"/>
  <c r="C21" i="1"/>
  <c r="G21" i="1" s="1"/>
</calcChain>
</file>

<file path=xl/sharedStrings.xml><?xml version="1.0" encoding="utf-8"?>
<sst xmlns="http://schemas.openxmlformats.org/spreadsheetml/2006/main" count="493" uniqueCount="70">
  <si>
    <t>ABSTRACT OF COST</t>
  </si>
  <si>
    <t>S.No.</t>
  </si>
  <si>
    <t>Particulars.</t>
  </si>
  <si>
    <t xml:space="preserve">Quantity </t>
  </si>
  <si>
    <t>Rate</t>
  </si>
  <si>
    <t>Unit</t>
  </si>
  <si>
    <t>Amount</t>
  </si>
  <si>
    <t xml:space="preserve">1 Earthwork in excavation for foundation of B-1 structure complete with all lift, dewatering, 1.1.4 shoring and shuttering etc. including 
refilling of trenches in 250 mm layer, ramming, watering and disposal of surplus soll within a lead of 1000 meters, as per drawing and technical Earth In excavation for foundation of specification. [MORTH Specification: Clause 304]. in ordinary soll [MORTH Specification clause 301] BY MECHANICAL MEANS Depth upto 3m 
</t>
  </si>
  <si>
    <t>Cum</t>
  </si>
  <si>
    <t>P Cum</t>
  </si>
  <si>
    <t xml:space="preserve">Earthwork In excavation for foundation of B-1 structure complete with all lift, dewatering, 1.3.2 shoring and shuttering etc. including 
refilling of trenches in 250 mm layer, ramming, watering and disposal of surplus soil within a lead of 1000 meters, as per drawing and technical Earth in excavation for foundation of specification. [MORTH Specification Clause 304].In Ordinary/Soft rock (not requiring blasting) [MORTH Specification: Clause 3011 BY MECHANICAL MEANS </t>
  </si>
  <si>
    <t xml:space="preserve">Earthwork in excavation for foundation of B-1 structure complete with all lift, dewatering. 1.4.2 shoring and shuttering etc. including 
refilling of trenches in 250 mm layer, ramming, watering and disposal of surplus soil within a lead of 1000 meters, as per drawing and technical Earth in excavation for foundation of specification. [MORTH Specification: Clause 304]. In Hard Rock [MORTH Specification : Clause 301, 302, 303]. Blasting Prohibited </t>
  </si>
  <si>
    <t xml:space="preserve">Structural cement concrete (Design Mix)  in open foundations, with form work, at level. Cement concrete for plain/reinforced concrete in open foundations as per drawing and technical specification. [MORTH Specification: 
Section 1700 &amp; 1500). 
With 20mm nominal size aggregate 
P.C.C. M-20 grade </t>
  </si>
  <si>
    <t xml:space="preserve">Structural cement concrete (Design Mix) 
B-2 in open foundations, with form work, at 6.6.6 any level. Cement plain/reinforced concrete for concrete in open foundations as per drawing and technical specification. [MORTH Specification : Section 1700 &amp; 1500]. 
With 20mm nominal size aggregate 
R.C.C. M-25 grade </t>
  </si>
  <si>
    <t xml:space="preserve">Providing and laying steel reinforcement at any level in foundation complete as per 13.1 drawing and technical specification. [MORTH Specification: Section 1600]. HYSD bar reinforcement </t>
  </si>
  <si>
    <t>T</t>
  </si>
  <si>
    <t>P tonne</t>
  </si>
  <si>
    <t xml:space="preserve">Structural cement concrete (Design Mix)  in open foundations, with form work, at level. Cement concrete for plain/reinforced concrete in open foundations as per drawing and technical specification. [MORTH Specification: 
Section 1700 &amp; 1500). 
With 20mm nominal size aggregate 
P.C.C. M-15 grade </t>
  </si>
  <si>
    <t xml:space="preserve">Structural cement concrete for plain concrete/ reinforced concrete for substructure at any level, complete as per [MORTH Specification: Section 1500 &amp; 1700]. drawing and technical specification. Design mix concrete  PCC M-25 Upto 5 mtr. Height 
</t>
  </si>
  <si>
    <t>cum</t>
  </si>
  <si>
    <t xml:space="preserve">Steel reinforcement in substructure 
HYSD reinforcement </t>
  </si>
  <si>
    <t xml:space="preserve"> Providing A.C. pipe Weep holes 150mm B-3 dia in Masonry/plain Concrete/Reinforced 13 Concrete abutment, wing wall/return wall complete as per drawing and technical specification. [MORTH Specification : Clause 2205]. </t>
  </si>
  <si>
    <t>R mtr</t>
  </si>
  <si>
    <t>P RM</t>
  </si>
  <si>
    <t xml:space="preserve">Providing and and filling in foundation Btrenches, and back filling behind abutments, wing walls, return wall etc., and below pipe bed in layers not exceeding 150mm thick including watering and compacting (IRC-78) </t>
  </si>
  <si>
    <t xml:space="preserve"> Filter medium behind abutment, wing wall 
and return wall, complete as per drawing 
and technical specification. (Same as R7.20.3) [MORTH Specification: Clause 2504]. </t>
  </si>
  <si>
    <t xml:space="preserve">Structural RCC/PSC upto a height of 5  mtr. for reinforced concrete in superstructure complete including steel formwork, scaffolding etc. As per drawing and technical specification.Design mix concrete. [MORTH Specification : 1500 &amp; 1700].RCC M-30 grade Solid slab superstructure at any level in superstructure complete as per drawing and technical Specification. [MORTH Specification: Section 1600] 
</t>
  </si>
  <si>
    <t xml:space="preserve">Steel reinforcement in Superstructure 
HYSD reinforcement </t>
  </si>
  <si>
    <t xml:space="preserve">Reinforced cement concrete wearing coat B-4 M-30 grade at any level including formwork and reinforcement complete as per drawing and technical Specification. MORTH Specification: Clause 2204, 1500 &amp; 1700]. </t>
  </si>
  <si>
    <t xml:space="preserve">Providing and Laying PCC M-15 grade B-4 leveling course below approach slab 15 complete as per drawing and technical specifications. [MORTH specification: 2700] 
</t>
  </si>
  <si>
    <t xml:space="preserve">Reinforced cement concrete M-30 grade B-4 approach slab including reinforcement 16 and formwork complete as per drawing and technical specifications. [MoRTH specification: 1500, 1600, 1700, 2704] </t>
  </si>
  <si>
    <t xml:space="preserve">Providing, laying and fixing of Filler Joint Providing and fixing 2mm thick Corrugated Copper Plate in expansion joint complete as per drawing and technical specifications in MORTH specification: clause 2605. </t>
  </si>
  <si>
    <t>Sqm</t>
  </si>
  <si>
    <t>P Sqm</t>
  </si>
  <si>
    <t xml:space="preserve">Total </t>
  </si>
  <si>
    <t>Rs.</t>
  </si>
  <si>
    <t>BRIDGE AT CHAINAGE (PADLI GUJARESHWAR)</t>
  </si>
  <si>
    <t>DETAILS OF MEASUREMENTS</t>
  </si>
  <si>
    <t>S.N.</t>
  </si>
  <si>
    <t>Particulars</t>
  </si>
  <si>
    <t>Nos.</t>
  </si>
  <si>
    <t>Length</t>
  </si>
  <si>
    <t xml:space="preserve">Breadth </t>
  </si>
  <si>
    <t>Height</t>
  </si>
  <si>
    <t>Qty.</t>
  </si>
  <si>
    <t>Units</t>
  </si>
  <si>
    <t xml:space="preserve">Earthwork in excavation for foundation of structure complete with all lift, dewatering, 1.1.4 shoring and shuttering etc. including 
refilling of trenches in 250 mm layer, ramming, watering and disposal of surplus soll within a lead of 1000 meters, as per drawing and technical Earth In excavation for foundation of specification. [MORTH Specification: Clause 304]. in ordinary soll [MORTH Specification clause 301] BY MECHANICAL MEANS Depth upto 3m 
</t>
  </si>
  <si>
    <t>Abutment A1</t>
  </si>
  <si>
    <t>x</t>
  </si>
  <si>
    <t>=</t>
  </si>
  <si>
    <t>Piers</t>
  </si>
  <si>
    <t>Abutment A2</t>
  </si>
  <si>
    <t>Total Qty.</t>
  </si>
  <si>
    <t>Abutment A1 &amp; A2</t>
  </si>
  <si>
    <t>Kg</t>
  </si>
  <si>
    <t>MT</t>
  </si>
  <si>
    <t>Return Wall</t>
  </si>
  <si>
    <t>Abut Cap</t>
  </si>
  <si>
    <t>Abutments</t>
  </si>
  <si>
    <t>RM</t>
  </si>
  <si>
    <t>Return Walls</t>
  </si>
  <si>
    <t xml:space="preserve">Filter medium behind abutment, wing wall 
and return wall, complete as per drawing 
and technical specification. (Same as R7.20.3) [MORTH Specification: Clause 2504]. </t>
  </si>
  <si>
    <t>Abut</t>
  </si>
  <si>
    <t>Return</t>
  </si>
  <si>
    <t>Slab</t>
  </si>
  <si>
    <t>Ends</t>
  </si>
  <si>
    <t>Kerb</t>
  </si>
  <si>
    <t>AS PER DETAILS ENCLOSED FOR 4 SLABS</t>
  </si>
  <si>
    <t xml:space="preserve">Reinforced cement concrete M-30 grade approach slab including reinforcement 16 and formwork complete as per drawing and technical specifications. [MoRTH specification: 1500, 1600, 1700, 2704] </t>
  </si>
  <si>
    <t>Sq m</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</si>
</sst>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name val="Arial"/>
      <charset val="1"/>
    </font>
    <font>
      <sz val="12"/>
      <name val="Arial"/>
      <family val="2"/>
      <charset val="1"/>
    </font>
    <font>
      <sz val="11"/>
      <name val="Arial"/>
      <family val="2"/>
      <charset val="1"/>
    </font>
    <font>
      <b/>
      <sz val="11"/>
      <name val="Arial"/>
      <family val="2"/>
      <charset val="1"/>
    </font>
  </fonts>
  <fills count="2">
    <fill>
      <patternFill patternType="none"/>
    </fill>
    <fill>
      <patternFill patternType="gray125"/>
    </fill>
  </fills>
  <borders count="8">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56">
    <xf numFmtId="0" fontId="0" fillId="0" borderId="0" xfId="0"/>
    <xf numFmtId="0" fontId="2" fillId="0" borderId="0" xfId="0" applyFont="1" applyBorder="1" applyAlignment="1">
      <alignment horizontal="center" vertical="top"/>
    </xf>
    <xf numFmtId="0" fontId="3" fillId="0" borderId="0" xfId="0" applyFont="1" applyBorder="1" applyAlignment="1">
      <alignment horizontal="center" vertical="top"/>
    </xf>
    <xf numFmtId="0" fontId="3" fillId="0" borderId="0" xfId="0" applyFont="1" applyBorder="1" applyAlignment="1">
      <alignment horizontal="center"/>
    </xf>
    <xf numFmtId="0" fontId="2" fillId="0" borderId="0" xfId="0" applyFont="1" applyBorder="1" applyAlignment="1">
      <alignment horizontal="center"/>
    </xf>
    <xf numFmtId="0" fontId="0" fillId="0" borderId="0" xfId="0" applyAlignment="1">
      <alignment horizontal="left" vertical="top"/>
    </xf>
    <xf numFmtId="0" fontId="0" fillId="0" borderId="0" xfId="0" applyAlignment="1">
      <alignment horizontal="justify" vertical="top" wrapText="1"/>
    </xf>
    <xf numFmtId="2" fontId="1" fillId="0" borderId="0" xfId="0" applyNumberFormat="1" applyFont="1"/>
    <xf numFmtId="0" fontId="1"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wrapText="1"/>
    </xf>
    <xf numFmtId="2" fontId="2" fillId="0" borderId="1" xfId="0" applyNumberFormat="1" applyFont="1" applyBorder="1" applyAlignment="1">
      <alignment horizontal="center"/>
    </xf>
    <xf numFmtId="0" fontId="2" fillId="0" borderId="1" xfId="0" applyFont="1" applyBorder="1" applyAlignment="1">
      <alignment horizontal="center"/>
    </xf>
    <xf numFmtId="1" fontId="2" fillId="0" borderId="1" xfId="0" applyNumberFormat="1" applyFont="1" applyBorder="1" applyAlignment="1">
      <alignment horizontal="center"/>
    </xf>
    <xf numFmtId="0" fontId="2" fillId="0" borderId="2" xfId="0" applyFont="1" applyBorder="1" applyAlignment="1">
      <alignment horizontal="center" vertical="top"/>
    </xf>
    <xf numFmtId="0" fontId="2" fillId="0" borderId="2" xfId="0" applyFont="1" applyBorder="1" applyAlignment="1">
      <alignment horizontal="justify" vertical="top" wrapText="1"/>
    </xf>
    <xf numFmtId="2" fontId="2" fillId="0" borderId="2" xfId="0" applyNumberFormat="1" applyFont="1" applyBorder="1" applyAlignment="1">
      <alignment vertical="top"/>
    </xf>
    <xf numFmtId="49" fontId="2" fillId="0" borderId="2" xfId="0" applyNumberFormat="1" applyFont="1" applyBorder="1" applyAlignment="1">
      <alignment horizontal="center" vertical="top"/>
    </xf>
    <xf numFmtId="0" fontId="0" fillId="0" borderId="0" xfId="0" applyBorder="1"/>
    <xf numFmtId="2" fontId="1" fillId="0" borderId="1" xfId="0" applyNumberFormat="1" applyFont="1" applyBorder="1"/>
    <xf numFmtId="2" fontId="1" fillId="0" borderId="1" xfId="0" applyNumberFormat="1" applyFont="1" applyBorder="1" applyAlignment="1">
      <alignment horizontal="right"/>
    </xf>
    <xf numFmtId="0" fontId="2" fillId="0" borderId="0" xfId="0" applyFont="1" applyBorder="1" applyAlignment="1">
      <alignment horizontal="left" vertical="top"/>
    </xf>
    <xf numFmtId="0" fontId="2" fillId="0" borderId="0" xfId="0" applyFont="1" applyBorder="1" applyAlignment="1">
      <alignment horizontal="justify" vertical="top" wrapText="1"/>
    </xf>
    <xf numFmtId="0" fontId="2" fillId="0" borderId="0" xfId="0" applyFont="1" applyBorder="1" applyAlignment="1">
      <alignment vertical="top"/>
    </xf>
    <xf numFmtId="2" fontId="2" fillId="0" borderId="0" xfId="0" applyNumberFormat="1" applyFont="1" applyBorder="1" applyAlignment="1">
      <alignment vertical="top"/>
    </xf>
    <xf numFmtId="2" fontId="2" fillId="0" borderId="0" xfId="0" applyNumberFormat="1" applyFont="1" applyBorder="1" applyAlignment="1">
      <alignment horizontal="right" vertical="top"/>
    </xf>
    <xf numFmtId="0" fontId="2" fillId="0" borderId="0" xfId="0" applyFont="1" applyBorder="1" applyAlignment="1">
      <alignment horizontal="center" vertical="top"/>
    </xf>
    <xf numFmtId="0" fontId="2" fillId="0" borderId="0" xfId="0" applyFont="1" applyBorder="1" applyAlignment="1">
      <alignment horizontal="center" vertical="top" wrapText="1"/>
    </xf>
    <xf numFmtId="2" fontId="2" fillId="0" borderId="0" xfId="0" applyNumberFormat="1" applyFont="1" applyBorder="1" applyAlignment="1">
      <alignment horizontal="center" vertical="top"/>
    </xf>
    <xf numFmtId="0" fontId="2" fillId="0" borderId="0" xfId="0" applyFont="1" applyBorder="1" applyAlignment="1">
      <alignment horizontal="center" vertical="top"/>
    </xf>
    <xf numFmtId="0" fontId="2" fillId="0" borderId="0" xfId="0" applyFont="1" applyBorder="1" applyAlignment="1">
      <alignment horizontal="justify" vertical="top" wrapText="1"/>
    </xf>
    <xf numFmtId="0" fontId="0" fillId="0" borderId="0" xfId="0" applyFont="1" applyBorder="1" applyAlignment="1">
      <alignment wrapText="1"/>
    </xf>
    <xf numFmtId="2" fontId="0" fillId="0" borderId="0" xfId="0" applyNumberFormat="1" applyBorder="1" applyAlignment="1">
      <alignment wrapText="1"/>
    </xf>
    <xf numFmtId="0" fontId="2" fillId="0" borderId="0" xfId="0" applyFont="1" applyBorder="1" applyAlignment="1">
      <alignment horizontal="right" vertical="top"/>
    </xf>
    <xf numFmtId="2" fontId="3" fillId="0" borderId="0" xfId="0" applyNumberFormat="1" applyFont="1" applyBorder="1" applyAlignment="1">
      <alignment vertical="top"/>
    </xf>
    <xf numFmtId="0" fontId="3" fillId="0" borderId="3" xfId="0" applyFont="1" applyBorder="1" applyAlignment="1">
      <alignment vertical="top"/>
    </xf>
    <xf numFmtId="2" fontId="3" fillId="0" borderId="1" xfId="0" applyNumberFormat="1" applyFont="1" applyBorder="1" applyAlignment="1">
      <alignment horizontal="right" vertical="top"/>
    </xf>
    <xf numFmtId="0" fontId="3" fillId="0" borderId="1" xfId="0" applyFont="1" applyBorder="1" applyAlignment="1">
      <alignment vertical="top"/>
    </xf>
    <xf numFmtId="2" fontId="3" fillId="0" borderId="1" xfId="0" applyNumberFormat="1" applyFont="1" applyBorder="1" applyAlignment="1">
      <alignment vertical="top"/>
    </xf>
    <xf numFmtId="0" fontId="3" fillId="0" borderId="4" xfId="0" applyFont="1" applyBorder="1" applyAlignment="1">
      <alignment horizontal="left" vertical="top"/>
    </xf>
    <xf numFmtId="1" fontId="0" fillId="0" borderId="0" xfId="0" applyNumberFormat="1" applyBorder="1" applyAlignment="1">
      <alignment wrapText="1"/>
    </xf>
    <xf numFmtId="1" fontId="2" fillId="0" borderId="0" xfId="0" applyNumberFormat="1" applyFont="1" applyBorder="1" applyAlignment="1">
      <alignment horizontal="right" vertical="top"/>
    </xf>
    <xf numFmtId="1" fontId="3" fillId="0" borderId="1" xfId="0" applyNumberFormat="1" applyFont="1" applyBorder="1" applyAlignment="1">
      <alignment vertical="top"/>
    </xf>
    <xf numFmtId="0" fontId="3" fillId="0" borderId="0" xfId="0" applyFont="1" applyBorder="1" applyAlignment="1">
      <alignment vertical="top"/>
    </xf>
    <xf numFmtId="2" fontId="3" fillId="0" borderId="0" xfId="0" applyNumberFormat="1" applyFont="1" applyBorder="1" applyAlignment="1">
      <alignment horizontal="right" vertical="top"/>
    </xf>
    <xf numFmtId="0" fontId="3" fillId="0" borderId="0" xfId="0" applyFont="1" applyBorder="1" applyAlignment="1">
      <alignment horizontal="left" vertical="top"/>
    </xf>
    <xf numFmtId="0" fontId="2" fillId="0" borderId="0" xfId="0" applyFont="1" applyBorder="1" applyAlignment="1">
      <alignment vertical="top"/>
    </xf>
    <xf numFmtId="0" fontId="3" fillId="0" borderId="5" xfId="0" applyFont="1" applyBorder="1" applyAlignment="1">
      <alignment vertical="top"/>
    </xf>
    <xf numFmtId="2" fontId="3" fillId="0" borderId="6" xfId="0" applyNumberFormat="1" applyFont="1" applyBorder="1" applyAlignment="1">
      <alignment horizontal="right" vertical="top"/>
    </xf>
    <xf numFmtId="0" fontId="3" fillId="0" borderId="6" xfId="0" applyFont="1" applyBorder="1" applyAlignment="1">
      <alignment vertical="top"/>
    </xf>
    <xf numFmtId="2" fontId="3" fillId="0" borderId="6" xfId="0" applyNumberFormat="1" applyFont="1" applyBorder="1" applyAlignment="1">
      <alignment vertical="top"/>
    </xf>
    <xf numFmtId="0" fontId="3" fillId="0" borderId="7" xfId="0" applyFont="1" applyBorder="1" applyAlignment="1">
      <alignment horizontal="left" vertical="top"/>
    </xf>
    <xf numFmtId="2" fontId="2" fillId="0" borderId="0" xfId="0" applyNumberFormat="1" applyFont="1" applyBorder="1" applyAlignment="1">
      <alignment vertical="top"/>
    </xf>
    <xf numFmtId="49" fontId="2" fillId="0" borderId="0" xfId="0" applyNumberFormat="1" applyFont="1" applyBorder="1" applyAlignment="1">
      <alignment horizontal="center" vertical="top"/>
    </xf>
    <xf numFmtId="0" fontId="1" fillId="0" borderId="0" xfId="0" applyFont="1" applyBorder="1" applyAlignment="1">
      <alignment wrapText="1"/>
    </xf>
    <xf numFmtId="1" fontId="3" fillId="0" borderId="0" xfId="0" applyNumberFormat="1"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120</xdr:row>
      <xdr:rowOff>122760</xdr:rowOff>
    </xdr:from>
    <xdr:to>
      <xdr:col>1</xdr:col>
      <xdr:colOff>2786760</xdr:colOff>
      <xdr:row>120</xdr:row>
      <xdr:rowOff>123120</xdr:rowOff>
    </xdr:to>
    <xdr:sp macro="" textlink="">
      <xdr:nvSpPr>
        <xdr:cNvPr id="2" name="Text 160"/>
        <xdr:cNvSpPr/>
      </xdr:nvSpPr>
      <xdr:spPr>
        <a:xfrm>
          <a:off x="290880" y="42081480"/>
          <a:ext cx="2786760" cy="360"/>
        </a:xfrm>
        <a:prstGeom prst="rect">
          <a:avLst/>
        </a:prstGeom>
        <a:solidFill>
          <a:srgbClr val="FFFFFF"/>
        </a:solidFill>
        <a:ln w="1">
          <a:noFill/>
        </a:ln>
      </xdr:spPr>
      <xdr:style>
        <a:lnRef idx="0">
          <a:scrgbClr r="0" g="0" b="0"/>
        </a:lnRef>
        <a:fillRef idx="0">
          <a:scrgbClr r="0" g="0" b="0"/>
        </a:fillRef>
        <a:effectRef idx="0">
          <a:scrgbClr r="0" g="0" b="0"/>
        </a:effectRef>
        <a:fontRef idx="minor"/>
      </xdr:style>
      <xdr:txBody>
        <a:bodyPr vertOverflow="clip" lIns="36720" tIns="11520" rIns="0" bIns="-11160" anchor="t" upright="1">
          <a:noAutofit/>
        </a:bodyPr>
        <a:lstStyle/>
        <a:p>
          <a:pPr>
            <a:lnSpc>
              <a:spcPct val="100000"/>
            </a:lnSpc>
          </a:pPr>
          <a:r>
            <a:rPr lang="en-US" sz="1200" b="0" u="none" strike="noStrike">
              <a:solidFill>
                <a:srgbClr val="000000"/>
              </a:solidFill>
              <a:effectLst/>
              <a:uFillTx/>
              <a:latin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endParaRPr lang="en-US" sz="1200" b="0" u="none" strike="noStrike">
            <a:effectLst/>
            <a:uFillTx/>
            <a:latin typeface="Times New Roman"/>
          </a:endParaRPr>
        </a:p>
      </xdr:txBody>
    </xdr:sp>
    <xdr:clientData/>
  </xdr:twoCellAnchor>
  <xdr:twoCellAnchor>
    <xdr:from>
      <xdr:col>1</xdr:col>
      <xdr:colOff>0</xdr:colOff>
      <xdr:row>120</xdr:row>
      <xdr:rowOff>122760</xdr:rowOff>
    </xdr:from>
    <xdr:to>
      <xdr:col>1</xdr:col>
      <xdr:colOff>2786760</xdr:colOff>
      <xdr:row>120</xdr:row>
      <xdr:rowOff>123120</xdr:rowOff>
    </xdr:to>
    <xdr:sp macro="" textlink="">
      <xdr:nvSpPr>
        <xdr:cNvPr id="3" name="Text 161"/>
        <xdr:cNvSpPr/>
      </xdr:nvSpPr>
      <xdr:spPr>
        <a:xfrm>
          <a:off x="290880" y="42081480"/>
          <a:ext cx="2786760" cy="360"/>
        </a:xfrm>
        <a:prstGeom prst="rect">
          <a:avLst/>
        </a:prstGeom>
        <a:solidFill>
          <a:srgbClr val="FFFFFF"/>
        </a:solidFill>
        <a:ln w="1">
          <a:noFill/>
        </a:ln>
      </xdr:spPr>
      <xdr:style>
        <a:lnRef idx="0">
          <a:scrgbClr r="0" g="0" b="0"/>
        </a:lnRef>
        <a:fillRef idx="0">
          <a:scrgbClr r="0" g="0" b="0"/>
        </a:fillRef>
        <a:effectRef idx="0">
          <a:scrgbClr r="0" g="0" b="0"/>
        </a:effectRef>
        <a:fontRef idx="minor"/>
      </xdr:style>
      <xdr:txBody>
        <a:bodyPr vertOverflow="clip" lIns="36720" tIns="11520" rIns="0" bIns="-11160" anchor="t" upright="1">
          <a:noAutofit/>
        </a:bodyPr>
        <a:lstStyle/>
        <a:p>
          <a:pPr>
            <a:lnSpc>
              <a:spcPct val="100000"/>
            </a:lnSpc>
          </a:pPr>
          <a:r>
            <a:rPr lang="en-US" sz="1200" b="0" u="none" strike="noStrike">
              <a:solidFill>
                <a:srgbClr val="000000"/>
              </a:solidFill>
              <a:effectLst/>
              <a:uFillTx/>
              <a:latin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endParaRPr lang="en-US" sz="1200" b="0" u="none" strike="noStrike">
            <a:effectLst/>
            <a:uFillTx/>
            <a:latin typeface="Times New Roman"/>
          </a:endParaRPr>
        </a:p>
      </xdr:txBody>
    </xdr:sp>
    <xdr:clientData/>
  </xdr:twoCellAnchor>
  <xdr:twoCellAnchor>
    <xdr:from>
      <xdr:col>1</xdr:col>
      <xdr:colOff>0</xdr:colOff>
      <xdr:row>121</xdr:row>
      <xdr:rowOff>122760</xdr:rowOff>
    </xdr:from>
    <xdr:to>
      <xdr:col>1</xdr:col>
      <xdr:colOff>2786760</xdr:colOff>
      <xdr:row>121</xdr:row>
      <xdr:rowOff>123120</xdr:rowOff>
    </xdr:to>
    <xdr:sp macro="" textlink="">
      <xdr:nvSpPr>
        <xdr:cNvPr id="4" name="Text 85"/>
        <xdr:cNvSpPr/>
      </xdr:nvSpPr>
      <xdr:spPr>
        <a:xfrm>
          <a:off x="290880" y="42262560"/>
          <a:ext cx="2786760" cy="360"/>
        </a:xfrm>
        <a:prstGeom prst="rect">
          <a:avLst/>
        </a:prstGeom>
        <a:solidFill>
          <a:srgbClr val="FFFFFF"/>
        </a:solidFill>
        <a:ln w="1">
          <a:noFill/>
        </a:ln>
      </xdr:spPr>
      <xdr:style>
        <a:lnRef idx="0">
          <a:scrgbClr r="0" g="0" b="0"/>
        </a:lnRef>
        <a:fillRef idx="0">
          <a:scrgbClr r="0" g="0" b="0"/>
        </a:fillRef>
        <a:effectRef idx="0">
          <a:scrgbClr r="0" g="0" b="0"/>
        </a:effectRef>
        <a:fontRef idx="minor"/>
      </xdr:style>
      <xdr:txBody>
        <a:bodyPr vertOverflow="clip" lIns="36720" tIns="11520" rIns="0" bIns="-11160" anchor="t" upright="1">
          <a:noAutofit/>
        </a:bodyPr>
        <a:lstStyle/>
        <a:p>
          <a:pPr>
            <a:lnSpc>
              <a:spcPct val="100000"/>
            </a:lnSpc>
          </a:pPr>
          <a:r>
            <a:rPr lang="en-US" sz="1200" b="0" u="none" strike="noStrike">
              <a:solidFill>
                <a:srgbClr val="000000"/>
              </a:solidFill>
              <a:effectLst/>
              <a:uFillTx/>
              <a:latin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endParaRPr lang="en-US" sz="1200" b="0" u="none" strike="noStrike">
            <a:effectLst/>
            <a:uFillTx/>
            <a:latin typeface="Times New Roman"/>
          </a:endParaRPr>
        </a:p>
        <a:p>
          <a:pPr>
            <a:lnSpc>
              <a:spcPct val="100000"/>
            </a:lnSpc>
          </a:pPr>
          <a:r>
            <a:rPr lang="en-US" sz="1200" b="0" u="none" strike="noStrike">
              <a:solidFill>
                <a:srgbClr val="000000"/>
              </a:solidFill>
              <a:effectLst/>
              <a:uFillTx/>
              <a:latin typeface="Arial"/>
            </a:rPr>
            <a:t>White Marble Banswara</a:t>
          </a:r>
          <a:endParaRPr lang="en-US" sz="1200" b="0" u="none" strike="noStrike">
            <a:effectLst/>
            <a:uFillTx/>
            <a:latin typeface="Times New Roman"/>
          </a:endParaRPr>
        </a:p>
        <a:p>
          <a:pPr>
            <a:lnSpc>
              <a:spcPct val="100000"/>
            </a:lnSpc>
          </a:pPr>
          <a:r>
            <a:rPr lang="en-US" sz="1200" b="0" u="none" strike="noStrike">
              <a:solidFill>
                <a:srgbClr val="000000"/>
              </a:solidFill>
              <a:effectLst/>
              <a:uFillTx/>
              <a:latin typeface="Arial"/>
            </a:rPr>
            <a:t> Above 3601 Sq. cm. </a:t>
          </a:r>
          <a:endParaRPr lang="en-US" sz="1200" b="0" u="none" strike="noStrike">
            <a:effectLst/>
            <a:uFillTx/>
            <a:latin typeface="Times New Roman"/>
          </a:endParaRPr>
        </a:p>
      </xdr:txBody>
    </xdr:sp>
    <xdr:clientData/>
  </xdr:twoCellAnchor>
  <xdr:twoCellAnchor>
    <xdr:from>
      <xdr:col>1</xdr:col>
      <xdr:colOff>9360</xdr:colOff>
      <xdr:row>123</xdr:row>
      <xdr:rowOff>122400</xdr:rowOff>
    </xdr:from>
    <xdr:to>
      <xdr:col>2</xdr:col>
      <xdr:colOff>9000</xdr:colOff>
      <xdr:row>123</xdr:row>
      <xdr:rowOff>122760</xdr:rowOff>
    </xdr:to>
    <xdr:sp macro="" textlink="">
      <xdr:nvSpPr>
        <xdr:cNvPr id="5" name="Text 87"/>
        <xdr:cNvSpPr/>
      </xdr:nvSpPr>
      <xdr:spPr>
        <a:xfrm>
          <a:off x="300240" y="42624360"/>
          <a:ext cx="2786760" cy="360"/>
        </a:xfrm>
        <a:prstGeom prst="rect">
          <a:avLst/>
        </a:prstGeom>
        <a:solidFill>
          <a:srgbClr val="FFFFFF"/>
        </a:solidFill>
        <a:ln w="1">
          <a:noFill/>
        </a:ln>
      </xdr:spPr>
      <xdr:style>
        <a:lnRef idx="0">
          <a:scrgbClr r="0" g="0" b="0"/>
        </a:lnRef>
        <a:fillRef idx="0">
          <a:scrgbClr r="0" g="0" b="0"/>
        </a:fillRef>
        <a:effectRef idx="0">
          <a:scrgbClr r="0" g="0" b="0"/>
        </a:effectRef>
        <a:fontRef idx="minor"/>
      </xdr:style>
      <xdr:txBody>
        <a:bodyPr vertOverflow="clip" lIns="36720" tIns="11520" rIns="0" bIns="-11160" anchor="t" upright="1">
          <a:noAutofit/>
        </a:bodyPr>
        <a:lstStyle/>
        <a:p>
          <a:pPr>
            <a:lnSpc>
              <a:spcPct val="100000"/>
            </a:lnSpc>
          </a:pPr>
          <a:r>
            <a:rPr lang="en-US" sz="1200" b="0" u="none" strike="noStrike">
              <a:solidFill>
                <a:srgbClr val="000000"/>
              </a:solidFill>
              <a:effectLst/>
              <a:uFillTx/>
              <a:latin typeface="Arial"/>
            </a:rPr>
            <a:t>Providing and fixing fully panelled double</a:t>
          </a:r>
          <a:endParaRPr lang="en-US" sz="1200" b="0" u="none" strike="noStrike">
            <a:effectLst/>
            <a:uFillTx/>
            <a:latin typeface="Times New Roman"/>
          </a:endParaRPr>
        </a:p>
        <a:p>
          <a:pPr>
            <a:lnSpc>
              <a:spcPct val="100000"/>
            </a:lnSpc>
          </a:pPr>
          <a:r>
            <a:rPr lang="en-US" sz="1200" b="0" u="none" strike="noStrike">
              <a:solidFill>
                <a:srgbClr val="000000"/>
              </a:solidFill>
              <a:effectLst/>
              <a:uFillTx/>
              <a:latin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endParaRPr lang="en-US" sz="1200" b="0" u="none" strike="noStrike">
            <a:effectLst/>
            <a:uFillTx/>
            <a:latin typeface="Times New Roman"/>
          </a:endParaRPr>
        </a:p>
      </xdr:txBody>
    </xdr:sp>
    <xdr:clientData/>
  </xdr:twoCellAnchor>
  <xdr:twoCellAnchor>
    <xdr:from>
      <xdr:col>1</xdr:col>
      <xdr:colOff>9360</xdr:colOff>
      <xdr:row>123</xdr:row>
      <xdr:rowOff>122400</xdr:rowOff>
    </xdr:from>
    <xdr:to>
      <xdr:col>2</xdr:col>
      <xdr:colOff>9000</xdr:colOff>
      <xdr:row>123</xdr:row>
      <xdr:rowOff>122760</xdr:rowOff>
    </xdr:to>
    <xdr:sp macro="" textlink="">
      <xdr:nvSpPr>
        <xdr:cNvPr id="6" name="Text 88"/>
        <xdr:cNvSpPr/>
      </xdr:nvSpPr>
      <xdr:spPr>
        <a:xfrm>
          <a:off x="300240" y="42624360"/>
          <a:ext cx="2786760" cy="360"/>
        </a:xfrm>
        <a:prstGeom prst="rect">
          <a:avLst/>
        </a:prstGeom>
        <a:solidFill>
          <a:srgbClr val="FFFFFF"/>
        </a:solidFill>
        <a:ln w="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tabSelected="1" zoomScale="75" zoomScaleNormal="75" workbookViewId="0">
      <selection activeCell="C21" sqref="C21"/>
    </sheetView>
  </sheetViews>
  <sheetFormatPr defaultColWidth="8.5546875" defaultRowHeight="15" customHeight="1" x14ac:dyDescent="0.2"/>
  <cols>
    <col min="1" max="1" width="3.6640625" style="5" customWidth="1"/>
    <col min="2" max="2" width="35" style="6" customWidth="1"/>
    <col min="3" max="3" width="9.5546875" style="7" customWidth="1"/>
    <col min="4" max="4" width="5.109375" style="8" customWidth="1"/>
    <col min="5" max="5" width="8.77734375" style="7" customWidth="1"/>
    <col min="6" max="6" width="6" style="8" customWidth="1"/>
    <col min="7" max="7" width="14" style="8" customWidth="1"/>
  </cols>
  <sheetData>
    <row r="1" spans="1:7" s="8" customFormat="1" x14ac:dyDescent="0.2">
      <c r="A1" s="4" t="str">
        <f>GF1_MES!A1</f>
        <v>BRIDGE AT CHAINAGE (PADLI GUJARESHWAR)</v>
      </c>
      <c r="B1" s="4"/>
      <c r="C1" s="4"/>
      <c r="D1" s="4"/>
      <c r="E1" s="4"/>
      <c r="F1" s="4"/>
      <c r="G1" s="4"/>
    </row>
    <row r="2" spans="1:7" s="8" customFormat="1" ht="15.75" x14ac:dyDescent="0.25">
      <c r="A2" s="3" t="s">
        <v>0</v>
      </c>
      <c r="B2" s="3"/>
      <c r="C2" s="3"/>
      <c r="D2" s="3"/>
      <c r="E2" s="3"/>
      <c r="F2" s="3"/>
      <c r="G2" s="3"/>
    </row>
    <row r="3" spans="1:7" s="8" customFormat="1" x14ac:dyDescent="0.2">
      <c r="A3" s="9" t="s">
        <v>1</v>
      </c>
      <c r="B3" s="10" t="s">
        <v>2</v>
      </c>
      <c r="C3" s="11" t="s">
        <v>3</v>
      </c>
      <c r="D3" s="12"/>
      <c r="E3" s="11" t="s">
        <v>4</v>
      </c>
      <c r="F3" s="12" t="s">
        <v>5</v>
      </c>
      <c r="G3" s="13" t="s">
        <v>6</v>
      </c>
    </row>
    <row r="4" spans="1:7" s="18" customFormat="1" ht="185.25" x14ac:dyDescent="0.2">
      <c r="A4" s="14">
        <v>1</v>
      </c>
      <c r="B4" s="15" t="s">
        <v>7</v>
      </c>
      <c r="C4" s="16">
        <f>GF1_MES!K10</f>
        <v>618.57900000000006</v>
      </c>
      <c r="D4" s="17" t="s">
        <v>8</v>
      </c>
      <c r="E4" s="14">
        <v>57</v>
      </c>
      <c r="F4" s="17" t="s">
        <v>9</v>
      </c>
      <c r="G4" s="16">
        <f t="shared" ref="G4:G21" si="0">C4*E4</f>
        <v>35259.003000000004</v>
      </c>
    </row>
    <row r="5" spans="1:7" ht="156.75" x14ac:dyDescent="0.2">
      <c r="A5" s="14">
        <v>2</v>
      </c>
      <c r="B5" s="15" t="s">
        <v>10</v>
      </c>
      <c r="C5" s="16">
        <f>GF1_MES!K17</f>
        <v>572.20500000000004</v>
      </c>
      <c r="D5" s="17" t="s">
        <v>8</v>
      </c>
      <c r="E5" s="14">
        <v>83</v>
      </c>
      <c r="F5" s="17" t="s">
        <v>9</v>
      </c>
      <c r="G5" s="16">
        <f t="shared" si="0"/>
        <v>47493.015000000007</v>
      </c>
    </row>
    <row r="6" spans="1:7" ht="142.5" x14ac:dyDescent="0.2">
      <c r="A6" s="14">
        <v>3</v>
      </c>
      <c r="B6" s="15" t="s">
        <v>11</v>
      </c>
      <c r="C6" s="16">
        <f>GF1_MES!K24</f>
        <v>1088.3100000000002</v>
      </c>
      <c r="D6" s="17" t="s">
        <v>8</v>
      </c>
      <c r="E6" s="14">
        <v>670</v>
      </c>
      <c r="F6" s="17" t="s">
        <v>9</v>
      </c>
      <c r="G6" s="16">
        <f t="shared" si="0"/>
        <v>729167.70000000007</v>
      </c>
    </row>
    <row r="7" spans="1:7" ht="114" x14ac:dyDescent="0.2">
      <c r="A7" s="14">
        <v>4</v>
      </c>
      <c r="B7" s="15" t="s">
        <v>12</v>
      </c>
      <c r="C7" s="16">
        <f>GF1_MES!K31</f>
        <v>114.441</v>
      </c>
      <c r="D7" s="17" t="s">
        <v>8</v>
      </c>
      <c r="E7" s="14">
        <v>4017</v>
      </c>
      <c r="F7" s="17" t="s">
        <v>9</v>
      </c>
      <c r="G7" s="16">
        <f t="shared" si="0"/>
        <v>459709.49700000003</v>
      </c>
    </row>
    <row r="8" spans="1:7" ht="114" x14ac:dyDescent="0.2">
      <c r="A8" s="14">
        <v>5</v>
      </c>
      <c r="B8" s="15" t="s">
        <v>13</v>
      </c>
      <c r="C8" s="16">
        <f>GF1_MES!K40</f>
        <v>961.60825</v>
      </c>
      <c r="D8" s="17" t="s">
        <v>8</v>
      </c>
      <c r="E8" s="14">
        <v>4341</v>
      </c>
      <c r="F8" s="17" t="s">
        <v>9</v>
      </c>
      <c r="G8" s="16">
        <f t="shared" si="0"/>
        <v>4174341.4132500002</v>
      </c>
    </row>
    <row r="9" spans="1:7" ht="103.5" customHeight="1" x14ac:dyDescent="0.2">
      <c r="A9" s="14">
        <v>6</v>
      </c>
      <c r="B9" s="15" t="s">
        <v>14</v>
      </c>
      <c r="C9" s="16">
        <f>GF1_MES!K45</f>
        <v>64.546999999999997</v>
      </c>
      <c r="D9" s="17" t="s">
        <v>15</v>
      </c>
      <c r="E9" s="14">
        <v>88567</v>
      </c>
      <c r="F9" s="17" t="s">
        <v>16</v>
      </c>
      <c r="G9" s="16">
        <f t="shared" si="0"/>
        <v>5716734.1489999993</v>
      </c>
    </row>
    <row r="10" spans="1:7" ht="114" x14ac:dyDescent="0.2">
      <c r="A10" s="14">
        <v>7</v>
      </c>
      <c r="B10" s="15" t="s">
        <v>17</v>
      </c>
      <c r="C10" s="16">
        <f>GF1_MES!K52</f>
        <v>272.79999999999995</v>
      </c>
      <c r="D10" s="17" t="s">
        <v>8</v>
      </c>
      <c r="E10" s="14">
        <v>3038</v>
      </c>
      <c r="F10" s="17" t="s">
        <v>9</v>
      </c>
      <c r="G10" s="16">
        <f t="shared" si="0"/>
        <v>828766.39999999991</v>
      </c>
    </row>
    <row r="11" spans="1:7" ht="99.75" x14ac:dyDescent="0.2">
      <c r="A11" s="14">
        <v>8</v>
      </c>
      <c r="B11" s="15" t="s">
        <v>18</v>
      </c>
      <c r="C11" s="16">
        <f>GF1_MES!K63</f>
        <v>372.08849999999995</v>
      </c>
      <c r="D11" s="17" t="s">
        <v>19</v>
      </c>
      <c r="E11" s="14">
        <v>4319</v>
      </c>
      <c r="F11" s="17" t="s">
        <v>9</v>
      </c>
      <c r="G11" s="16">
        <f t="shared" si="0"/>
        <v>1607050.2314999998</v>
      </c>
    </row>
    <row r="12" spans="1:7" ht="28.5" x14ac:dyDescent="0.2">
      <c r="A12" s="14">
        <v>9</v>
      </c>
      <c r="B12" s="15" t="s">
        <v>20</v>
      </c>
      <c r="C12" s="16">
        <f>GF1_MES!K68</f>
        <v>57.158999999999999</v>
      </c>
      <c r="D12" s="17" t="s">
        <v>15</v>
      </c>
      <c r="E12" s="14">
        <v>88737</v>
      </c>
      <c r="F12" s="17" t="s">
        <v>16</v>
      </c>
      <c r="G12" s="16">
        <f t="shared" si="0"/>
        <v>5072118.1830000002</v>
      </c>
    </row>
    <row r="13" spans="1:7" ht="85.5" x14ac:dyDescent="0.2">
      <c r="A13" s="14">
        <v>10</v>
      </c>
      <c r="B13" s="15" t="s">
        <v>21</v>
      </c>
      <c r="C13" s="16">
        <f>GF1_MES!K79</f>
        <v>408.5</v>
      </c>
      <c r="D13" s="17" t="s">
        <v>22</v>
      </c>
      <c r="E13" s="14">
        <v>114</v>
      </c>
      <c r="F13" s="17" t="s">
        <v>23</v>
      </c>
      <c r="G13" s="16">
        <f t="shared" si="0"/>
        <v>46569</v>
      </c>
    </row>
    <row r="14" spans="1:7" ht="71.25" x14ac:dyDescent="0.2">
      <c r="A14" s="14">
        <v>11</v>
      </c>
      <c r="B14" s="15" t="s">
        <v>24</v>
      </c>
      <c r="C14" s="16">
        <f>GF1_MES!K87</f>
        <v>10.113</v>
      </c>
      <c r="D14" s="17" t="s">
        <v>19</v>
      </c>
      <c r="E14" s="14">
        <v>745</v>
      </c>
      <c r="F14" s="17" t="s">
        <v>9</v>
      </c>
      <c r="G14" s="16">
        <f t="shared" si="0"/>
        <v>7534.1849999999995</v>
      </c>
    </row>
    <row r="15" spans="1:7" ht="71.25" x14ac:dyDescent="0.2">
      <c r="A15" s="14">
        <v>12</v>
      </c>
      <c r="B15" s="15" t="s">
        <v>25</v>
      </c>
      <c r="C15" s="16">
        <f>GF1_MES!K91</f>
        <v>419.13</v>
      </c>
      <c r="D15" s="17" t="s">
        <v>19</v>
      </c>
      <c r="E15" s="14">
        <v>560</v>
      </c>
      <c r="F15" s="17" t="s">
        <v>9</v>
      </c>
      <c r="G15" s="16">
        <f t="shared" si="0"/>
        <v>234712.8</v>
      </c>
    </row>
    <row r="16" spans="1:7" ht="156.75" x14ac:dyDescent="0.2">
      <c r="A16" s="14">
        <v>13</v>
      </c>
      <c r="B16" s="15" t="s">
        <v>26</v>
      </c>
      <c r="C16" s="16">
        <f>GF1_MES!K96</f>
        <v>297.09100000000007</v>
      </c>
      <c r="D16" s="17" t="s">
        <v>19</v>
      </c>
      <c r="E16" s="14">
        <v>6307</v>
      </c>
      <c r="F16" s="17" t="s">
        <v>9</v>
      </c>
      <c r="G16" s="16">
        <f t="shared" si="0"/>
        <v>1873752.9370000004</v>
      </c>
    </row>
    <row r="17" spans="1:7" ht="28.5" x14ac:dyDescent="0.2">
      <c r="A17" s="14">
        <v>14</v>
      </c>
      <c r="B17" s="15" t="s">
        <v>27</v>
      </c>
      <c r="C17" s="16">
        <f>GF1_MES!K98</f>
        <v>27.064</v>
      </c>
      <c r="D17" s="17" t="s">
        <v>15</v>
      </c>
      <c r="E17" s="14">
        <v>89654</v>
      </c>
      <c r="F17" s="17" t="s">
        <v>16</v>
      </c>
      <c r="G17" s="16">
        <f t="shared" si="0"/>
        <v>2426395.8560000001</v>
      </c>
    </row>
    <row r="18" spans="1:7" ht="71.25" x14ac:dyDescent="0.2">
      <c r="A18" s="14">
        <v>15</v>
      </c>
      <c r="B18" s="15" t="s">
        <v>28</v>
      </c>
      <c r="C18" s="16">
        <f>GF1_MES!K101</f>
        <v>43.5625</v>
      </c>
      <c r="D18" s="17" t="s">
        <v>8</v>
      </c>
      <c r="E18" s="14">
        <v>7720</v>
      </c>
      <c r="F18" s="17" t="s">
        <v>9</v>
      </c>
      <c r="G18" s="16">
        <f t="shared" si="0"/>
        <v>336302.5</v>
      </c>
    </row>
    <row r="19" spans="1:7" ht="71.25" x14ac:dyDescent="0.2">
      <c r="A19" s="14">
        <v>16</v>
      </c>
      <c r="B19" s="15" t="s">
        <v>29</v>
      </c>
      <c r="C19" s="16">
        <f>GF1_MES!K103</f>
        <v>14.220000000000002</v>
      </c>
      <c r="D19" s="17" t="s">
        <v>19</v>
      </c>
      <c r="E19" s="14">
        <v>2471</v>
      </c>
      <c r="F19" s="17" t="s">
        <v>9</v>
      </c>
      <c r="G19" s="16">
        <f t="shared" si="0"/>
        <v>35137.620000000003</v>
      </c>
    </row>
    <row r="20" spans="1:7" ht="71.25" x14ac:dyDescent="0.2">
      <c r="A20" s="14">
        <v>17</v>
      </c>
      <c r="B20" s="15" t="s">
        <v>30</v>
      </c>
      <c r="C20" s="16">
        <f>GF1_MES!K107</f>
        <v>21.330000000000002</v>
      </c>
      <c r="D20" s="17" t="s">
        <v>19</v>
      </c>
      <c r="E20" s="14">
        <v>7073</v>
      </c>
      <c r="F20" s="17" t="s">
        <v>9</v>
      </c>
      <c r="G20" s="16">
        <f t="shared" si="0"/>
        <v>150867.09000000003</v>
      </c>
    </row>
    <row r="21" spans="1:7" ht="71.25" x14ac:dyDescent="0.2">
      <c r="A21" s="14">
        <v>18</v>
      </c>
      <c r="B21" s="15" t="s">
        <v>31</v>
      </c>
      <c r="C21" s="16">
        <f>GF1_MES!K109</f>
        <v>31.875</v>
      </c>
      <c r="D21" s="17" t="s">
        <v>32</v>
      </c>
      <c r="E21" s="14">
        <v>3673</v>
      </c>
      <c r="F21" s="17" t="s">
        <v>33</v>
      </c>
      <c r="G21" s="16">
        <f t="shared" si="0"/>
        <v>117076.875</v>
      </c>
    </row>
    <row r="22" spans="1:7" x14ac:dyDescent="0.2">
      <c r="C22" s="8"/>
      <c r="E22" s="19" t="s">
        <v>34</v>
      </c>
      <c r="F22" s="20" t="s">
        <v>35</v>
      </c>
      <c r="G22" s="20">
        <f>SUM(G4:G15)</f>
        <v>18959455.576749999</v>
      </c>
    </row>
    <row r="23" spans="1:7" x14ac:dyDescent="0.2">
      <c r="C23" s="8"/>
      <c r="E23" s="8"/>
    </row>
    <row r="24" spans="1:7" x14ac:dyDescent="0.2">
      <c r="C24" s="8"/>
      <c r="E24" s="8"/>
    </row>
    <row r="25" spans="1:7" x14ac:dyDescent="0.2">
      <c r="C25" s="8"/>
      <c r="E25" s="8"/>
    </row>
    <row r="26" spans="1:7" x14ac:dyDescent="0.2">
      <c r="C26" s="8"/>
      <c r="E26" s="8"/>
    </row>
    <row r="27" spans="1:7" x14ac:dyDescent="0.2">
      <c r="C27" s="8"/>
      <c r="E27" s="8"/>
    </row>
    <row r="28" spans="1:7" x14ac:dyDescent="0.2">
      <c r="C28" s="8"/>
      <c r="E28" s="8"/>
    </row>
    <row r="29" spans="1:7" x14ac:dyDescent="0.2">
      <c r="C29" s="8"/>
      <c r="E29" s="8"/>
    </row>
    <row r="30" spans="1:7" x14ac:dyDescent="0.2">
      <c r="C30" s="8"/>
      <c r="E30" s="8"/>
    </row>
  </sheetData>
  <mergeCells count="2">
    <mergeCell ref="A1:G1"/>
    <mergeCell ref="A2:G2"/>
  </mergeCells>
  <dataValidations count="4">
    <dataValidation type="decimal" allowBlank="1" showInputMessage="1" showErrorMessage="1" errorTitle="Invalid Entry" error="Only Numeric Values are allowed. " promptTitle="Quantity" prompt="Please enter the Quantity for this item. " sqref="C4 C6:C21">
      <formula1>0</formula1>
      <formula2>999999999999999</formula2>
    </dataValidation>
    <dataValidation type="decimal" allowBlank="1" showInputMessage="1" showErrorMessage="1" errorTitle="Invalid Entry" error="Only Numeric Values are allowed. " sqref="C5 E5:E6">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4 E7:E21">
      <formula1>0</formula1>
      <formula2>999999999999999</formula2>
    </dataValidation>
    <dataValidation type="decimal" allowBlank="1" showInputMessage="1" showErrorMessage="1" errorTitle="Invalid Entry" error="Only Numeric Values are allowed." sqref="A4:A21">
      <formula1>0</formula1>
      <formula2>999999999999999</formula2>
    </dataValidation>
  </dataValidations>
  <printOptions horizontalCentered="1"/>
  <pageMargins left="0.75" right="0.75" top="0.75972222222222197" bottom="1" header="0.511811023622047" footer="0.511811023622047"/>
  <pageSetup paperSize="9" scale="88"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10"/>
  <sheetViews>
    <sheetView topLeftCell="A102" zoomScaleNormal="100" zoomScalePageLayoutView="75" workbookViewId="0">
      <selection activeCell="E146" sqref="E146"/>
    </sheetView>
  </sheetViews>
  <sheetFormatPr defaultColWidth="8.88671875" defaultRowHeight="14.25" customHeight="1" x14ac:dyDescent="0.2"/>
  <cols>
    <col min="1" max="1" width="3.44140625" style="21" customWidth="1"/>
    <col min="2" max="2" width="33" style="22" customWidth="1"/>
    <col min="3" max="3" width="5.44140625" style="21" customWidth="1"/>
    <col min="4" max="4" width="2.5546875" style="23" customWidth="1"/>
    <col min="5" max="5" width="9" style="24" customWidth="1"/>
    <col min="6" max="6" width="2.21875" style="23" customWidth="1"/>
    <col min="7" max="7" width="6.5546875" style="25" customWidth="1"/>
    <col min="8" max="8" width="2" style="23" customWidth="1"/>
    <col min="9" max="9" width="6.33203125" style="24" customWidth="1"/>
    <col min="10" max="10" width="2" style="23" customWidth="1"/>
    <col min="11" max="11" width="10.33203125" style="24" customWidth="1"/>
    <col min="12" max="12" width="5.33203125" style="23" customWidth="1"/>
    <col min="13" max="16384" width="8.88671875" style="23"/>
  </cols>
  <sheetData>
    <row r="1" spans="1:13" ht="15" x14ac:dyDescent="0.2">
      <c r="A1" s="2" t="s">
        <v>36</v>
      </c>
      <c r="B1" s="2"/>
      <c r="C1" s="2"/>
      <c r="D1" s="2"/>
      <c r="E1" s="2"/>
      <c r="F1" s="2"/>
      <c r="G1" s="2"/>
      <c r="H1" s="2"/>
      <c r="I1" s="2"/>
      <c r="J1" s="2"/>
      <c r="K1" s="2"/>
      <c r="L1" s="2"/>
    </row>
    <row r="2" spans="1:13" x14ac:dyDescent="0.2">
      <c r="A2" s="1" t="s">
        <v>37</v>
      </c>
      <c r="B2" s="1"/>
      <c r="C2" s="1"/>
      <c r="D2" s="1"/>
      <c r="E2" s="1"/>
      <c r="F2" s="1"/>
      <c r="G2" s="1"/>
      <c r="H2" s="1"/>
      <c r="I2" s="1"/>
      <c r="J2" s="1"/>
      <c r="K2" s="1"/>
      <c r="L2" s="1"/>
    </row>
    <row r="3" spans="1:13" s="26" customFormat="1" x14ac:dyDescent="0.2">
      <c r="A3" s="26" t="s">
        <v>38</v>
      </c>
      <c r="B3" s="27" t="s">
        <v>39</v>
      </c>
      <c r="C3" s="26" t="s">
        <v>40</v>
      </c>
      <c r="E3" s="28" t="s">
        <v>41</v>
      </c>
      <c r="G3" s="28" t="s">
        <v>42</v>
      </c>
      <c r="H3" s="28"/>
      <c r="I3" s="28" t="s">
        <v>43</v>
      </c>
      <c r="J3" s="28"/>
      <c r="K3" s="28" t="s">
        <v>44</v>
      </c>
      <c r="L3" s="28" t="s">
        <v>45</v>
      </c>
    </row>
    <row r="4" spans="1:13" s="18" customFormat="1" ht="185.25" x14ac:dyDescent="0.2">
      <c r="A4" s="29">
        <v>1</v>
      </c>
      <c r="B4" s="30" t="s">
        <v>46</v>
      </c>
    </row>
    <row r="5" spans="1:13" ht="15" x14ac:dyDescent="0.2">
      <c r="B5" s="31" t="s">
        <v>47</v>
      </c>
      <c r="C5" s="21">
        <v>1</v>
      </c>
      <c r="D5" s="23" t="s">
        <v>48</v>
      </c>
      <c r="E5" s="32">
        <v>8.5</v>
      </c>
      <c r="F5" s="24" t="s">
        <v>48</v>
      </c>
      <c r="G5" s="32">
        <v>8.8000000000000007</v>
      </c>
      <c r="H5" s="33" t="s">
        <v>48</v>
      </c>
      <c r="I5" s="25">
        <v>1.5</v>
      </c>
      <c r="J5" s="33" t="s">
        <v>49</v>
      </c>
      <c r="K5" s="25">
        <f>IF(C5,C5*E5*G5*I5,"")</f>
        <v>112.20000000000002</v>
      </c>
      <c r="L5" s="21" t="s">
        <v>8</v>
      </c>
      <c r="M5" s="33"/>
    </row>
    <row r="6" spans="1:13" ht="15" x14ac:dyDescent="0.2">
      <c r="B6" s="31" t="s">
        <v>50</v>
      </c>
      <c r="C6" s="21">
        <v>1</v>
      </c>
      <c r="D6" s="23" t="s">
        <v>48</v>
      </c>
      <c r="E6" s="32">
        <v>5.9</v>
      </c>
      <c r="F6" s="24" t="s">
        <v>48</v>
      </c>
      <c r="G6" s="24">
        <v>13.1</v>
      </c>
      <c r="H6" s="33" t="s">
        <v>48</v>
      </c>
      <c r="I6" s="25">
        <v>1.65</v>
      </c>
      <c r="J6" s="33" t="s">
        <v>49</v>
      </c>
      <c r="K6" s="25">
        <f>IF(C6,C6*E6*G6*I6,"")</f>
        <v>127.52850000000001</v>
      </c>
      <c r="L6" s="21" t="s">
        <v>8</v>
      </c>
      <c r="M6" s="33"/>
    </row>
    <row r="7" spans="1:13" ht="15" x14ac:dyDescent="0.2">
      <c r="B7" s="31"/>
      <c r="C7" s="21">
        <v>1</v>
      </c>
      <c r="D7" s="23" t="s">
        <v>48</v>
      </c>
      <c r="E7" s="32">
        <v>5.9</v>
      </c>
      <c r="F7" s="24" t="s">
        <v>48</v>
      </c>
      <c r="G7" s="24">
        <v>13.1</v>
      </c>
      <c r="H7" s="33" t="s">
        <v>48</v>
      </c>
      <c r="I7" s="25">
        <v>1.65</v>
      </c>
      <c r="J7" s="33" t="s">
        <v>49</v>
      </c>
      <c r="K7" s="25">
        <f>IF(C7,C7*E7*G7*I7,"")</f>
        <v>127.52850000000001</v>
      </c>
      <c r="L7" s="21" t="s">
        <v>8</v>
      </c>
      <c r="M7" s="33"/>
    </row>
    <row r="8" spans="1:13" ht="15" x14ac:dyDescent="0.2">
      <c r="B8" s="31"/>
      <c r="C8" s="21">
        <v>1</v>
      </c>
      <c r="D8" s="23" t="s">
        <v>48</v>
      </c>
      <c r="E8" s="32">
        <v>5.9</v>
      </c>
      <c r="F8" s="24" t="s">
        <v>48</v>
      </c>
      <c r="G8" s="24">
        <v>13.1</v>
      </c>
      <c r="H8" s="33" t="s">
        <v>48</v>
      </c>
      <c r="I8" s="25">
        <v>1.8</v>
      </c>
      <c r="J8" s="33" t="s">
        <v>49</v>
      </c>
      <c r="K8" s="25">
        <f>IF(C8,C8*E8*G8*I8,"")</f>
        <v>139.12200000000001</v>
      </c>
      <c r="L8" s="21" t="s">
        <v>8</v>
      </c>
      <c r="M8" s="33"/>
    </row>
    <row r="9" spans="1:13" ht="15.75" customHeight="1" x14ac:dyDescent="0.2">
      <c r="B9" s="31" t="s">
        <v>51</v>
      </c>
      <c r="C9" s="21">
        <v>1</v>
      </c>
      <c r="D9" s="23" t="s">
        <v>48</v>
      </c>
      <c r="E9" s="32">
        <v>8.5</v>
      </c>
      <c r="F9" s="24" t="s">
        <v>48</v>
      </c>
      <c r="G9" s="32">
        <v>8.8000000000000007</v>
      </c>
      <c r="H9" s="33" t="s">
        <v>48</v>
      </c>
      <c r="I9" s="25">
        <v>1.5</v>
      </c>
      <c r="J9" s="33" t="s">
        <v>49</v>
      </c>
      <c r="K9" s="25">
        <f>IF(C9,C9*E9*G9*I9,"")</f>
        <v>112.20000000000002</v>
      </c>
      <c r="L9" s="21" t="s">
        <v>8</v>
      </c>
      <c r="M9" s="33"/>
    </row>
    <row r="10" spans="1:13" ht="15" x14ac:dyDescent="0.2">
      <c r="E10" s="34"/>
      <c r="F10" s="35"/>
      <c r="G10" s="36" t="s">
        <v>52</v>
      </c>
      <c r="H10" s="37"/>
      <c r="I10" s="38"/>
      <c r="J10" s="37"/>
      <c r="K10" s="38">
        <f>SUM(K5:K9)</f>
        <v>618.57900000000006</v>
      </c>
      <c r="L10" s="39" t="s">
        <v>8</v>
      </c>
    </row>
    <row r="11" spans="1:13" s="18" customFormat="1" ht="171" x14ac:dyDescent="0.2">
      <c r="A11" s="29">
        <v>2</v>
      </c>
      <c r="B11" s="30" t="s">
        <v>10</v>
      </c>
    </row>
    <row r="12" spans="1:13" ht="15" x14ac:dyDescent="0.2">
      <c r="B12" s="31" t="s">
        <v>47</v>
      </c>
      <c r="C12" s="21">
        <v>1</v>
      </c>
      <c r="D12" s="23" t="s">
        <v>48</v>
      </c>
      <c r="E12" s="32">
        <v>8.5</v>
      </c>
      <c r="F12" s="24" t="s">
        <v>48</v>
      </c>
      <c r="G12" s="32">
        <v>8.8000000000000007</v>
      </c>
      <c r="H12" s="33" t="s">
        <v>48</v>
      </c>
      <c r="I12" s="25">
        <v>1.5</v>
      </c>
      <c r="J12" s="33" t="s">
        <v>49</v>
      </c>
      <c r="K12" s="25">
        <f>IF(C12,C12*E12*G12*I12,"")</f>
        <v>112.20000000000002</v>
      </c>
      <c r="L12" s="21" t="s">
        <v>8</v>
      </c>
      <c r="M12" s="33"/>
    </row>
    <row r="13" spans="1:13" ht="15" x14ac:dyDescent="0.2">
      <c r="B13" s="31" t="s">
        <v>50</v>
      </c>
      <c r="C13" s="21">
        <v>1</v>
      </c>
      <c r="D13" s="23" t="s">
        <v>48</v>
      </c>
      <c r="E13" s="32">
        <v>5.9</v>
      </c>
      <c r="F13" s="24" t="s">
        <v>48</v>
      </c>
      <c r="G13" s="24">
        <v>13.1</v>
      </c>
      <c r="H13" s="33" t="s">
        <v>48</v>
      </c>
      <c r="I13" s="25">
        <v>1.5</v>
      </c>
      <c r="J13" s="33" t="s">
        <v>49</v>
      </c>
      <c r="K13" s="25">
        <f>IF(C13,C13*E13*G13*I13,"")</f>
        <v>115.935</v>
      </c>
      <c r="L13" s="21" t="s">
        <v>8</v>
      </c>
      <c r="M13" s="33"/>
    </row>
    <row r="14" spans="1:13" ht="15" x14ac:dyDescent="0.2">
      <c r="B14" s="31"/>
      <c r="C14" s="21">
        <v>1</v>
      </c>
      <c r="D14" s="23" t="s">
        <v>48</v>
      </c>
      <c r="E14" s="32">
        <v>5.9</v>
      </c>
      <c r="F14" s="24" t="s">
        <v>48</v>
      </c>
      <c r="G14" s="24">
        <v>13.1</v>
      </c>
      <c r="H14" s="33" t="s">
        <v>48</v>
      </c>
      <c r="I14" s="25">
        <v>1.5</v>
      </c>
      <c r="J14" s="33" t="s">
        <v>49</v>
      </c>
      <c r="K14" s="25">
        <f>IF(C14,C14*E14*G14*I14,"")</f>
        <v>115.935</v>
      </c>
      <c r="L14" s="21" t="s">
        <v>8</v>
      </c>
      <c r="M14" s="33"/>
    </row>
    <row r="15" spans="1:13" ht="15" x14ac:dyDescent="0.2">
      <c r="B15" s="31"/>
      <c r="C15" s="21">
        <v>1</v>
      </c>
      <c r="D15" s="23" t="s">
        <v>48</v>
      </c>
      <c r="E15" s="32">
        <v>5.9</v>
      </c>
      <c r="F15" s="24" t="s">
        <v>48</v>
      </c>
      <c r="G15" s="24">
        <v>13.1</v>
      </c>
      <c r="H15" s="33" t="s">
        <v>48</v>
      </c>
      <c r="I15" s="25">
        <v>1.5</v>
      </c>
      <c r="J15" s="33" t="s">
        <v>49</v>
      </c>
      <c r="K15" s="25">
        <f>IF(C15,C15*E15*G15*I15,"")</f>
        <v>115.935</v>
      </c>
      <c r="L15" s="21" t="s">
        <v>8</v>
      </c>
      <c r="M15" s="33"/>
    </row>
    <row r="16" spans="1:13" ht="15.75" customHeight="1" x14ac:dyDescent="0.2">
      <c r="B16" s="31" t="s">
        <v>51</v>
      </c>
      <c r="C16" s="21">
        <v>1</v>
      </c>
      <c r="D16" s="23" t="s">
        <v>48</v>
      </c>
      <c r="E16" s="32">
        <v>8.5</v>
      </c>
      <c r="F16" s="24" t="s">
        <v>48</v>
      </c>
      <c r="G16" s="32">
        <v>8.8000000000000007</v>
      </c>
      <c r="H16" s="33" t="s">
        <v>48</v>
      </c>
      <c r="I16" s="25">
        <v>1.5</v>
      </c>
      <c r="J16" s="33" t="s">
        <v>49</v>
      </c>
      <c r="K16" s="25">
        <f>IF(C16,C16*E16*G16*I16,"")</f>
        <v>112.20000000000002</v>
      </c>
      <c r="L16" s="21" t="s">
        <v>8</v>
      </c>
      <c r="M16" s="33"/>
    </row>
    <row r="17" spans="1:13" ht="15" x14ac:dyDescent="0.2">
      <c r="E17" s="34"/>
      <c r="F17" s="35"/>
      <c r="G17" s="36" t="s">
        <v>52</v>
      </c>
      <c r="H17" s="37"/>
      <c r="I17" s="38"/>
      <c r="J17" s="37"/>
      <c r="K17" s="38">
        <f>SUM(K12:K16)</f>
        <v>572.20500000000004</v>
      </c>
      <c r="L17" s="39" t="s">
        <v>8</v>
      </c>
    </row>
    <row r="18" spans="1:13" s="18" customFormat="1" ht="156.75" x14ac:dyDescent="0.2">
      <c r="A18" s="29">
        <v>3</v>
      </c>
      <c r="B18" s="30" t="s">
        <v>11</v>
      </c>
    </row>
    <row r="19" spans="1:13" ht="15" x14ac:dyDescent="0.2">
      <c r="B19" s="31" t="s">
        <v>47</v>
      </c>
      <c r="C19" s="21">
        <v>1</v>
      </c>
      <c r="D19" s="23" t="s">
        <v>48</v>
      </c>
      <c r="E19" s="32">
        <v>8.5</v>
      </c>
      <c r="F19" s="24" t="s">
        <v>48</v>
      </c>
      <c r="G19" s="32">
        <v>8.8000000000000007</v>
      </c>
      <c r="H19" s="33" t="s">
        <v>48</v>
      </c>
      <c r="I19" s="25">
        <v>2.25</v>
      </c>
      <c r="J19" s="33" t="s">
        <v>49</v>
      </c>
      <c r="K19" s="25">
        <f>IF(C19,C19*E19*G19*I19,"")</f>
        <v>168.3</v>
      </c>
      <c r="L19" s="21" t="s">
        <v>8</v>
      </c>
      <c r="M19" s="33"/>
    </row>
    <row r="20" spans="1:13" ht="15" x14ac:dyDescent="0.2">
      <c r="B20" s="31" t="s">
        <v>50</v>
      </c>
      <c r="C20" s="21">
        <v>1</v>
      </c>
      <c r="D20" s="23" t="s">
        <v>48</v>
      </c>
      <c r="E20" s="32">
        <v>5.9</v>
      </c>
      <c r="F20" s="24" t="s">
        <v>48</v>
      </c>
      <c r="G20" s="24">
        <v>13.1</v>
      </c>
      <c r="H20" s="33" t="s">
        <v>48</v>
      </c>
      <c r="I20" s="25">
        <v>3</v>
      </c>
      <c r="J20" s="33" t="s">
        <v>49</v>
      </c>
      <c r="K20" s="25">
        <f>IF(C20,C20*E20*G20*I20,"")</f>
        <v>231.87</v>
      </c>
      <c r="L20" s="21" t="s">
        <v>8</v>
      </c>
      <c r="M20" s="33"/>
    </row>
    <row r="21" spans="1:13" ht="15" x14ac:dyDescent="0.2">
      <c r="B21" s="31"/>
      <c r="C21" s="21">
        <v>1</v>
      </c>
      <c r="D21" s="23" t="s">
        <v>48</v>
      </c>
      <c r="E21" s="32">
        <v>5.9</v>
      </c>
      <c r="F21" s="24" t="s">
        <v>48</v>
      </c>
      <c r="G21" s="24">
        <v>13.1</v>
      </c>
      <c r="H21" s="33" t="s">
        <v>48</v>
      </c>
      <c r="I21" s="25">
        <v>3.15</v>
      </c>
      <c r="J21" s="33" t="s">
        <v>49</v>
      </c>
      <c r="K21" s="25">
        <f>IF(C21,C21*E21*G21*I21,"")</f>
        <v>243.46350000000001</v>
      </c>
      <c r="L21" s="21" t="s">
        <v>8</v>
      </c>
      <c r="M21" s="33"/>
    </row>
    <row r="22" spans="1:13" ht="15" x14ac:dyDescent="0.2">
      <c r="B22" s="31"/>
      <c r="C22" s="21">
        <v>1</v>
      </c>
      <c r="D22" s="23" t="s">
        <v>48</v>
      </c>
      <c r="E22" s="32">
        <v>5.9</v>
      </c>
      <c r="F22" s="24" t="s">
        <v>48</v>
      </c>
      <c r="G22" s="24">
        <v>13.1</v>
      </c>
      <c r="H22" s="33" t="s">
        <v>48</v>
      </c>
      <c r="I22" s="25">
        <v>2.85</v>
      </c>
      <c r="J22" s="33" t="s">
        <v>49</v>
      </c>
      <c r="K22" s="25">
        <f>IF(C22,C22*E22*G22*I22,"")</f>
        <v>220.27650000000003</v>
      </c>
      <c r="L22" s="21" t="s">
        <v>8</v>
      </c>
      <c r="M22" s="33"/>
    </row>
    <row r="23" spans="1:13" ht="15.75" customHeight="1" x14ac:dyDescent="0.2">
      <c r="B23" s="31" t="s">
        <v>51</v>
      </c>
      <c r="C23" s="21">
        <v>1</v>
      </c>
      <c r="D23" s="23" t="s">
        <v>48</v>
      </c>
      <c r="E23" s="32">
        <v>8.5</v>
      </c>
      <c r="F23" s="24" t="s">
        <v>48</v>
      </c>
      <c r="G23" s="32">
        <v>8.8000000000000007</v>
      </c>
      <c r="H23" s="33" t="s">
        <v>48</v>
      </c>
      <c r="I23" s="25">
        <v>3</v>
      </c>
      <c r="J23" s="33" t="s">
        <v>49</v>
      </c>
      <c r="K23" s="25">
        <f>IF(C23,C23*E23*G23*I23,"")</f>
        <v>224.40000000000003</v>
      </c>
      <c r="L23" s="21" t="s">
        <v>8</v>
      </c>
      <c r="M23" s="33"/>
    </row>
    <row r="24" spans="1:13" ht="15" x14ac:dyDescent="0.2">
      <c r="E24" s="34"/>
      <c r="F24" s="35"/>
      <c r="G24" s="36" t="s">
        <v>52</v>
      </c>
      <c r="H24" s="37"/>
      <c r="I24" s="38"/>
      <c r="J24" s="37"/>
      <c r="K24" s="38">
        <f>SUM(K19:K23)</f>
        <v>1088.3100000000002</v>
      </c>
      <c r="L24" s="39" t="s">
        <v>8</v>
      </c>
    </row>
    <row r="25" spans="1:13" s="18" customFormat="1" ht="128.25" x14ac:dyDescent="0.2">
      <c r="A25" s="29">
        <v>4</v>
      </c>
      <c r="B25" s="30" t="s">
        <v>12</v>
      </c>
    </row>
    <row r="26" spans="1:13" ht="15" x14ac:dyDescent="0.2">
      <c r="B26" s="31" t="s">
        <v>47</v>
      </c>
      <c r="C26" s="21">
        <v>1</v>
      </c>
      <c r="D26" s="23" t="s">
        <v>48</v>
      </c>
      <c r="E26" s="32">
        <v>8.5</v>
      </c>
      <c r="F26" s="24" t="s">
        <v>48</v>
      </c>
      <c r="G26" s="32">
        <v>8.8000000000000007</v>
      </c>
      <c r="H26" s="33" t="s">
        <v>48</v>
      </c>
      <c r="I26" s="25">
        <v>0.3</v>
      </c>
      <c r="J26" s="33" t="s">
        <v>49</v>
      </c>
      <c r="K26" s="25">
        <f>IF(C26,C26*E26*G26*I26,"")</f>
        <v>22.44</v>
      </c>
      <c r="L26" s="21" t="s">
        <v>8</v>
      </c>
      <c r="M26" s="33"/>
    </row>
    <row r="27" spans="1:13" ht="15" x14ac:dyDescent="0.2">
      <c r="B27" s="31" t="s">
        <v>50</v>
      </c>
      <c r="C27" s="21">
        <v>1</v>
      </c>
      <c r="D27" s="23" t="s">
        <v>48</v>
      </c>
      <c r="E27" s="32">
        <v>5.9</v>
      </c>
      <c r="F27" s="24" t="s">
        <v>48</v>
      </c>
      <c r="G27" s="24">
        <v>13.1</v>
      </c>
      <c r="H27" s="33" t="s">
        <v>48</v>
      </c>
      <c r="I27" s="25">
        <v>0.3</v>
      </c>
      <c r="J27" s="33" t="s">
        <v>49</v>
      </c>
      <c r="K27" s="25">
        <f>IF(C27,C27*E27*G27*I27,"")</f>
        <v>23.187000000000001</v>
      </c>
      <c r="L27" s="21" t="s">
        <v>8</v>
      </c>
      <c r="M27" s="33"/>
    </row>
    <row r="28" spans="1:13" ht="15" x14ac:dyDescent="0.2">
      <c r="B28" s="31"/>
      <c r="C28" s="21">
        <v>1</v>
      </c>
      <c r="D28" s="23" t="s">
        <v>48</v>
      </c>
      <c r="E28" s="32">
        <v>5.9</v>
      </c>
      <c r="F28" s="24" t="s">
        <v>48</v>
      </c>
      <c r="G28" s="24">
        <v>13.1</v>
      </c>
      <c r="H28" s="33" t="s">
        <v>48</v>
      </c>
      <c r="I28" s="25">
        <v>0.3</v>
      </c>
      <c r="J28" s="33" t="s">
        <v>49</v>
      </c>
      <c r="K28" s="25">
        <f>IF(C28,C28*E28*G28*I28,"")</f>
        <v>23.187000000000001</v>
      </c>
      <c r="L28" s="21" t="s">
        <v>8</v>
      </c>
      <c r="M28" s="33"/>
    </row>
    <row r="29" spans="1:13" ht="15" x14ac:dyDescent="0.2">
      <c r="B29" s="31"/>
      <c r="C29" s="21">
        <v>1</v>
      </c>
      <c r="D29" s="23" t="s">
        <v>48</v>
      </c>
      <c r="E29" s="32">
        <v>5.9</v>
      </c>
      <c r="F29" s="24" t="s">
        <v>48</v>
      </c>
      <c r="G29" s="24">
        <v>13.1</v>
      </c>
      <c r="H29" s="33" t="s">
        <v>48</v>
      </c>
      <c r="I29" s="25">
        <v>0.3</v>
      </c>
      <c r="J29" s="33" t="s">
        <v>49</v>
      </c>
      <c r="K29" s="25">
        <f>IF(C29,C29*E29*G29*I29,"")</f>
        <v>23.187000000000001</v>
      </c>
      <c r="L29" s="21" t="s">
        <v>8</v>
      </c>
      <c r="M29" s="33"/>
    </row>
    <row r="30" spans="1:13" ht="15.75" customHeight="1" x14ac:dyDescent="0.2">
      <c r="B30" s="31" t="s">
        <v>51</v>
      </c>
      <c r="C30" s="21">
        <v>1</v>
      </c>
      <c r="D30" s="23" t="s">
        <v>48</v>
      </c>
      <c r="E30" s="32">
        <v>8.5</v>
      </c>
      <c r="F30" s="24" t="s">
        <v>48</v>
      </c>
      <c r="G30" s="32">
        <v>8.8000000000000007</v>
      </c>
      <c r="H30" s="33" t="s">
        <v>48</v>
      </c>
      <c r="I30" s="25">
        <v>0.3</v>
      </c>
      <c r="J30" s="33" t="s">
        <v>49</v>
      </c>
      <c r="K30" s="25">
        <f>IF(C30,C30*E30*G30*I30,"")</f>
        <v>22.44</v>
      </c>
      <c r="L30" s="21" t="s">
        <v>8</v>
      </c>
      <c r="M30" s="33"/>
    </row>
    <row r="31" spans="1:13" ht="15" x14ac:dyDescent="0.2">
      <c r="E31" s="34"/>
      <c r="F31" s="35"/>
      <c r="G31" s="36" t="s">
        <v>52</v>
      </c>
      <c r="H31" s="37"/>
      <c r="I31" s="38"/>
      <c r="J31" s="37"/>
      <c r="K31" s="38">
        <f>SUM(K26:K30)</f>
        <v>114.441</v>
      </c>
      <c r="L31" s="39" t="s">
        <v>8</v>
      </c>
    </row>
    <row r="32" spans="1:13" s="18" customFormat="1" ht="128.25" x14ac:dyDescent="0.2">
      <c r="A32" s="29">
        <v>5</v>
      </c>
      <c r="B32" s="30" t="s">
        <v>13</v>
      </c>
    </row>
    <row r="33" spans="1:13" ht="15" x14ac:dyDescent="0.2">
      <c r="B33" s="31" t="s">
        <v>47</v>
      </c>
      <c r="C33" s="21">
        <v>1</v>
      </c>
      <c r="D33" s="23" t="s">
        <v>48</v>
      </c>
      <c r="E33" s="32">
        <v>8.1999999999999993</v>
      </c>
      <c r="F33" s="24" t="s">
        <v>48</v>
      </c>
      <c r="G33" s="32">
        <v>8.5</v>
      </c>
      <c r="H33" s="33" t="s">
        <v>48</v>
      </c>
      <c r="I33" s="25">
        <v>0.85</v>
      </c>
      <c r="J33" s="33" t="s">
        <v>49</v>
      </c>
      <c r="K33" s="25">
        <f t="shared" ref="K33:K39" si="0">IF(C33,C33*E33*G33*I33,"")</f>
        <v>59.24499999999999</v>
      </c>
      <c r="L33" s="21" t="s">
        <v>8</v>
      </c>
      <c r="M33" s="33"/>
    </row>
    <row r="34" spans="1:13" ht="15" x14ac:dyDescent="0.2">
      <c r="B34" s="31"/>
      <c r="C34" s="21">
        <v>1</v>
      </c>
      <c r="D34" s="23" t="s">
        <v>48</v>
      </c>
      <c r="E34" s="32">
        <v>4.75</v>
      </c>
      <c r="F34" s="24" t="s">
        <v>48</v>
      </c>
      <c r="G34" s="32">
        <v>8.5</v>
      </c>
      <c r="H34" s="33" t="s">
        <v>48</v>
      </c>
      <c r="I34" s="25">
        <v>1.8</v>
      </c>
      <c r="J34" s="33" t="s">
        <v>49</v>
      </c>
      <c r="K34" s="25">
        <f t="shared" si="0"/>
        <v>72.674999999999997</v>
      </c>
      <c r="L34" s="21" t="s">
        <v>8</v>
      </c>
      <c r="M34" s="33"/>
    </row>
    <row r="35" spans="1:13" ht="15" x14ac:dyDescent="0.2">
      <c r="B35" s="31" t="s">
        <v>50</v>
      </c>
      <c r="C35" s="21">
        <v>1</v>
      </c>
      <c r="D35" s="23" t="s">
        <v>48</v>
      </c>
      <c r="E35" s="32">
        <v>5.6</v>
      </c>
      <c r="F35" s="24" t="s">
        <v>48</v>
      </c>
      <c r="G35" s="24">
        <v>12.8</v>
      </c>
      <c r="H35" s="33" t="s">
        <v>48</v>
      </c>
      <c r="I35" s="25">
        <v>3.1</v>
      </c>
      <c r="J35" s="33" t="s">
        <v>49</v>
      </c>
      <c r="K35" s="25">
        <f t="shared" si="0"/>
        <v>222.20799999999997</v>
      </c>
      <c r="L35" s="21" t="s">
        <v>8</v>
      </c>
      <c r="M35" s="33"/>
    </row>
    <row r="36" spans="1:13" ht="15" x14ac:dyDescent="0.2">
      <c r="B36" s="31"/>
      <c r="C36" s="21">
        <v>1</v>
      </c>
      <c r="D36" s="23" t="s">
        <v>48</v>
      </c>
      <c r="E36" s="32">
        <v>5.6</v>
      </c>
      <c r="F36" s="24" t="s">
        <v>48</v>
      </c>
      <c r="G36" s="24">
        <v>12.8</v>
      </c>
      <c r="H36" s="33" t="s">
        <v>48</v>
      </c>
      <c r="I36" s="25">
        <v>3.25</v>
      </c>
      <c r="J36" s="33" t="s">
        <v>49</v>
      </c>
      <c r="K36" s="25">
        <f t="shared" si="0"/>
        <v>232.95999999999998</v>
      </c>
      <c r="L36" s="21" t="s">
        <v>8</v>
      </c>
      <c r="M36" s="33"/>
    </row>
    <row r="37" spans="1:13" ht="15" x14ac:dyDescent="0.2">
      <c r="B37" s="31"/>
      <c r="C37" s="21">
        <v>1</v>
      </c>
      <c r="D37" s="23" t="s">
        <v>48</v>
      </c>
      <c r="E37" s="32">
        <v>5.6</v>
      </c>
      <c r="F37" s="24" t="s">
        <v>48</v>
      </c>
      <c r="G37" s="24">
        <v>12.8</v>
      </c>
      <c r="H37" s="33" t="s">
        <v>48</v>
      </c>
      <c r="I37" s="25">
        <v>3.3</v>
      </c>
      <c r="J37" s="33" t="s">
        <v>49</v>
      </c>
      <c r="K37" s="25">
        <f t="shared" si="0"/>
        <v>236.54399999999995</v>
      </c>
      <c r="L37" s="21" t="s">
        <v>8</v>
      </c>
      <c r="M37" s="33"/>
    </row>
    <row r="38" spans="1:13" ht="15.75" customHeight="1" x14ac:dyDescent="0.2">
      <c r="B38" s="31" t="s">
        <v>51</v>
      </c>
      <c r="C38" s="21">
        <v>1</v>
      </c>
      <c r="D38" s="23" t="s">
        <v>48</v>
      </c>
      <c r="E38" s="32">
        <v>8.1999999999999993</v>
      </c>
      <c r="F38" s="24" t="s">
        <v>48</v>
      </c>
      <c r="G38" s="32">
        <v>8.5</v>
      </c>
      <c r="H38" s="33" t="s">
        <v>48</v>
      </c>
      <c r="I38" s="25">
        <v>0.85</v>
      </c>
      <c r="J38" s="33" t="s">
        <v>49</v>
      </c>
      <c r="K38" s="25">
        <f t="shared" si="0"/>
        <v>59.24499999999999</v>
      </c>
      <c r="L38" s="21" t="s">
        <v>8</v>
      </c>
      <c r="M38" s="33"/>
    </row>
    <row r="39" spans="1:13" ht="15.75" customHeight="1" x14ac:dyDescent="0.2">
      <c r="B39" s="31"/>
      <c r="C39" s="21">
        <v>1</v>
      </c>
      <c r="D39" s="23" t="s">
        <v>48</v>
      </c>
      <c r="E39" s="32">
        <v>4.75</v>
      </c>
      <c r="F39" s="24" t="s">
        <v>48</v>
      </c>
      <c r="G39" s="32">
        <v>8.5</v>
      </c>
      <c r="H39" s="33" t="s">
        <v>48</v>
      </c>
      <c r="I39" s="25">
        <v>1.95</v>
      </c>
      <c r="J39" s="33" t="s">
        <v>49</v>
      </c>
      <c r="K39" s="25">
        <f t="shared" si="0"/>
        <v>78.731250000000003</v>
      </c>
      <c r="L39" s="21" t="s">
        <v>8</v>
      </c>
      <c r="M39" s="33"/>
    </row>
    <row r="40" spans="1:13" ht="15" x14ac:dyDescent="0.2">
      <c r="E40" s="34"/>
      <c r="F40" s="35"/>
      <c r="G40" s="36" t="s">
        <v>52</v>
      </c>
      <c r="H40" s="37"/>
      <c r="I40" s="38"/>
      <c r="J40" s="37"/>
      <c r="K40" s="38">
        <f>SUM(K33:K39)</f>
        <v>961.60825</v>
      </c>
      <c r="L40" s="39" t="s">
        <v>8</v>
      </c>
    </row>
    <row r="41" spans="1:13" s="18" customFormat="1" ht="103.5" customHeight="1" x14ac:dyDescent="0.2">
      <c r="A41" s="29">
        <v>6</v>
      </c>
      <c r="B41" s="30" t="s">
        <v>14</v>
      </c>
    </row>
    <row r="42" spans="1:13" ht="15" x14ac:dyDescent="0.2">
      <c r="B42" s="31" t="s">
        <v>53</v>
      </c>
      <c r="C42" s="21">
        <v>2</v>
      </c>
      <c r="D42" s="23" t="s">
        <v>48</v>
      </c>
      <c r="E42" s="40">
        <v>11215</v>
      </c>
      <c r="F42" s="24"/>
      <c r="G42" s="32"/>
      <c r="H42" s="33"/>
      <c r="I42" s="25"/>
      <c r="J42" s="33" t="s">
        <v>49</v>
      </c>
      <c r="K42" s="41">
        <f>C42*E42</f>
        <v>22430</v>
      </c>
      <c r="L42" s="21" t="s">
        <v>54</v>
      </c>
      <c r="M42" s="33"/>
    </row>
    <row r="43" spans="1:13" ht="15" x14ac:dyDescent="0.2">
      <c r="B43" s="31" t="s">
        <v>50</v>
      </c>
      <c r="C43" s="21">
        <v>3</v>
      </c>
      <c r="D43" s="23" t="s">
        <v>48</v>
      </c>
      <c r="E43" s="40">
        <v>14039</v>
      </c>
      <c r="F43" s="24"/>
      <c r="G43" s="32"/>
      <c r="H43" s="33"/>
      <c r="I43" s="25"/>
      <c r="J43" s="33" t="s">
        <v>49</v>
      </c>
      <c r="K43" s="41">
        <f>C43*E43</f>
        <v>42117</v>
      </c>
      <c r="L43" s="21" t="s">
        <v>54</v>
      </c>
      <c r="M43" s="33"/>
    </row>
    <row r="44" spans="1:13" ht="15" x14ac:dyDescent="0.2">
      <c r="E44" s="34"/>
      <c r="F44" s="35"/>
      <c r="G44" s="36" t="s">
        <v>52</v>
      </c>
      <c r="H44" s="37"/>
      <c r="I44" s="38"/>
      <c r="J44" s="37"/>
      <c r="K44" s="42">
        <f>SUM(K42:K43)</f>
        <v>64547</v>
      </c>
      <c r="L44" s="39" t="s">
        <v>54</v>
      </c>
    </row>
    <row r="45" spans="1:13" ht="15" x14ac:dyDescent="0.2">
      <c r="E45" s="34"/>
      <c r="F45" s="43"/>
      <c r="G45" s="44"/>
      <c r="H45" s="43"/>
      <c r="I45" s="34"/>
      <c r="J45" s="43"/>
      <c r="K45" s="34">
        <f>K44/1000</f>
        <v>64.546999999999997</v>
      </c>
      <c r="L45" s="45" t="s">
        <v>55</v>
      </c>
    </row>
    <row r="46" spans="1:13" s="18" customFormat="1" ht="128.25" x14ac:dyDescent="0.2">
      <c r="A46" s="29">
        <v>7</v>
      </c>
      <c r="B46" s="30" t="s">
        <v>17</v>
      </c>
    </row>
    <row r="47" spans="1:13" ht="15" x14ac:dyDescent="0.2">
      <c r="B47" s="31" t="s">
        <v>47</v>
      </c>
      <c r="C47" s="21">
        <v>1</v>
      </c>
      <c r="D47" s="23" t="s">
        <v>48</v>
      </c>
      <c r="E47" s="32">
        <v>8.1999999999999993</v>
      </c>
      <c r="F47" s="24" t="s">
        <v>48</v>
      </c>
      <c r="G47" s="32">
        <v>8.5</v>
      </c>
      <c r="H47" s="33" t="s">
        <v>48</v>
      </c>
      <c r="I47" s="25">
        <v>0.75</v>
      </c>
      <c r="J47" s="33" t="s">
        <v>49</v>
      </c>
      <c r="K47" s="25">
        <f>IF(C47,C47*E47*G47*I47,"")</f>
        <v>52.274999999999991</v>
      </c>
      <c r="L47" s="21" t="s">
        <v>8</v>
      </c>
      <c r="M47" s="33"/>
    </row>
    <row r="48" spans="1:13" ht="15" x14ac:dyDescent="0.2">
      <c r="B48" s="31" t="s">
        <v>50</v>
      </c>
      <c r="C48" s="21">
        <v>1</v>
      </c>
      <c r="D48" s="23" t="s">
        <v>48</v>
      </c>
      <c r="E48" s="32">
        <v>5.6</v>
      </c>
      <c r="F48" s="24" t="s">
        <v>48</v>
      </c>
      <c r="G48" s="24">
        <v>12.8</v>
      </c>
      <c r="H48" s="33" t="s">
        <v>48</v>
      </c>
      <c r="I48" s="25">
        <v>0.75</v>
      </c>
      <c r="J48" s="33" t="s">
        <v>49</v>
      </c>
      <c r="K48" s="25">
        <f>IF(C48,C48*E48*G48*I48,"")</f>
        <v>53.759999999999991</v>
      </c>
      <c r="L48" s="21" t="s">
        <v>8</v>
      </c>
      <c r="M48" s="33"/>
    </row>
    <row r="49" spans="1:13" ht="15" x14ac:dyDescent="0.2">
      <c r="B49" s="31"/>
      <c r="C49" s="21">
        <v>1</v>
      </c>
      <c r="D49" s="23" t="s">
        <v>48</v>
      </c>
      <c r="E49" s="32">
        <v>5.6</v>
      </c>
      <c r="F49" s="24" t="s">
        <v>48</v>
      </c>
      <c r="G49" s="24">
        <v>12.8</v>
      </c>
      <c r="H49" s="33" t="s">
        <v>48</v>
      </c>
      <c r="I49" s="25">
        <v>0.75</v>
      </c>
      <c r="J49" s="33" t="s">
        <v>49</v>
      </c>
      <c r="K49" s="25">
        <f>IF(C49,C49*E49*G49*I49,"")</f>
        <v>53.759999999999991</v>
      </c>
      <c r="L49" s="21" t="s">
        <v>8</v>
      </c>
      <c r="M49" s="33"/>
    </row>
    <row r="50" spans="1:13" ht="15" x14ac:dyDescent="0.2">
      <c r="B50" s="31"/>
      <c r="C50" s="21">
        <v>1</v>
      </c>
      <c r="D50" s="23" t="s">
        <v>48</v>
      </c>
      <c r="E50" s="32">
        <v>5.6</v>
      </c>
      <c r="F50" s="24" t="s">
        <v>48</v>
      </c>
      <c r="G50" s="24">
        <v>12.8</v>
      </c>
      <c r="H50" s="33" t="s">
        <v>48</v>
      </c>
      <c r="I50" s="25">
        <v>0.75</v>
      </c>
      <c r="J50" s="33" t="s">
        <v>49</v>
      </c>
      <c r="K50" s="25">
        <f>IF(C50,C50*E50*G50*I50,"")</f>
        <v>53.759999999999991</v>
      </c>
      <c r="L50" s="21" t="s">
        <v>8</v>
      </c>
      <c r="M50" s="33"/>
    </row>
    <row r="51" spans="1:13" ht="15.75" customHeight="1" x14ac:dyDescent="0.2">
      <c r="B51" s="31" t="s">
        <v>51</v>
      </c>
      <c r="C51" s="21">
        <v>1</v>
      </c>
      <c r="D51" s="23" t="s">
        <v>48</v>
      </c>
      <c r="E51" s="32">
        <v>8.1999999999999993</v>
      </c>
      <c r="F51" s="24" t="s">
        <v>48</v>
      </c>
      <c r="G51" s="32">
        <v>8.5</v>
      </c>
      <c r="H51" s="33" t="s">
        <v>48</v>
      </c>
      <c r="I51" s="25">
        <v>0.85</v>
      </c>
      <c r="J51" s="33" t="s">
        <v>49</v>
      </c>
      <c r="K51" s="25">
        <f>IF(C51,C51*E51*G51*I51,"")</f>
        <v>59.24499999999999</v>
      </c>
      <c r="L51" s="21" t="s">
        <v>8</v>
      </c>
      <c r="M51" s="33"/>
    </row>
    <row r="52" spans="1:13" ht="15" x14ac:dyDescent="0.2">
      <c r="E52" s="34"/>
      <c r="F52" s="35"/>
      <c r="G52" s="36" t="s">
        <v>52</v>
      </c>
      <c r="H52" s="37"/>
      <c r="I52" s="38"/>
      <c r="J52" s="37"/>
      <c r="K52" s="38">
        <f>SUM(K47:K51)</f>
        <v>272.79999999999995</v>
      </c>
      <c r="L52" s="39" t="s">
        <v>8</v>
      </c>
    </row>
    <row r="53" spans="1:13" s="18" customFormat="1" ht="114" x14ac:dyDescent="0.2">
      <c r="A53" s="29">
        <v>8</v>
      </c>
      <c r="B53" s="30" t="s">
        <v>18</v>
      </c>
    </row>
    <row r="54" spans="1:13" ht="15" x14ac:dyDescent="0.2">
      <c r="B54" s="31" t="s">
        <v>47</v>
      </c>
      <c r="C54" s="21">
        <v>1</v>
      </c>
      <c r="D54" s="23" t="s">
        <v>48</v>
      </c>
      <c r="E54" s="32">
        <v>8.5</v>
      </c>
      <c r="F54" s="24" t="s">
        <v>48</v>
      </c>
      <c r="G54" s="32">
        <v>1.05</v>
      </c>
      <c r="H54" s="33" t="s">
        <v>48</v>
      </c>
      <c r="I54" s="25">
        <v>5.0999999999999996</v>
      </c>
      <c r="J54" s="33" t="s">
        <v>49</v>
      </c>
      <c r="K54" s="25">
        <f t="shared" ref="K54:K62" si="1">IF(C54,C54*E54*G54*I54,"")</f>
        <v>45.517499999999998</v>
      </c>
      <c r="L54" s="21" t="s">
        <v>8</v>
      </c>
      <c r="M54" s="33"/>
    </row>
    <row r="55" spans="1:13" ht="15" x14ac:dyDescent="0.2">
      <c r="B55" s="31" t="s">
        <v>56</v>
      </c>
      <c r="C55" s="21">
        <v>2</v>
      </c>
      <c r="D55" s="23" t="s">
        <v>48</v>
      </c>
      <c r="E55" s="32">
        <v>5.5</v>
      </c>
      <c r="F55" s="24" t="s">
        <v>48</v>
      </c>
      <c r="G55" s="32">
        <v>0.75</v>
      </c>
      <c r="H55" s="33" t="s">
        <v>48</v>
      </c>
      <c r="I55" s="25">
        <v>6.5</v>
      </c>
      <c r="J55" s="33" t="s">
        <v>49</v>
      </c>
      <c r="K55" s="25">
        <f t="shared" si="1"/>
        <v>53.625</v>
      </c>
      <c r="L55" s="21" t="s">
        <v>8</v>
      </c>
      <c r="M55" s="33"/>
    </row>
    <row r="56" spans="1:13" ht="15" x14ac:dyDescent="0.2">
      <c r="B56" s="31" t="s">
        <v>57</v>
      </c>
      <c r="C56" s="21">
        <v>1</v>
      </c>
      <c r="D56" s="23" t="s">
        <v>48</v>
      </c>
      <c r="E56" s="32">
        <v>8.8000000000000007</v>
      </c>
      <c r="F56" s="24" t="s">
        <v>48</v>
      </c>
      <c r="G56" s="32">
        <v>0.9</v>
      </c>
      <c r="H56" s="33" t="s">
        <v>48</v>
      </c>
      <c r="I56" s="25">
        <v>0.4</v>
      </c>
      <c r="J56" s="33" t="s">
        <v>49</v>
      </c>
      <c r="K56" s="25">
        <f t="shared" si="1"/>
        <v>3.1680000000000006</v>
      </c>
      <c r="L56" s="21" t="s">
        <v>8</v>
      </c>
      <c r="M56" s="33"/>
    </row>
    <row r="57" spans="1:13" ht="15" x14ac:dyDescent="0.2">
      <c r="B57" s="31" t="s">
        <v>50</v>
      </c>
      <c r="C57" s="21">
        <v>1</v>
      </c>
      <c r="D57" s="23" t="s">
        <v>48</v>
      </c>
      <c r="E57" s="32">
        <v>5.6</v>
      </c>
      <c r="F57" s="24" t="s">
        <v>48</v>
      </c>
      <c r="G57" s="24">
        <v>12.8</v>
      </c>
      <c r="H57" s="33" t="s">
        <v>48</v>
      </c>
      <c r="I57" s="25">
        <v>0.75</v>
      </c>
      <c r="J57" s="33" t="s">
        <v>49</v>
      </c>
      <c r="K57" s="25">
        <f t="shared" si="1"/>
        <v>53.759999999999991</v>
      </c>
      <c r="L57" s="21" t="s">
        <v>8</v>
      </c>
      <c r="M57" s="33"/>
    </row>
    <row r="58" spans="1:13" ht="15" x14ac:dyDescent="0.2">
      <c r="B58" s="31"/>
      <c r="C58" s="21">
        <v>1</v>
      </c>
      <c r="D58" s="23" t="s">
        <v>48</v>
      </c>
      <c r="E58" s="32">
        <v>5.6</v>
      </c>
      <c r="F58" s="24" t="s">
        <v>48</v>
      </c>
      <c r="G58" s="24">
        <v>12.8</v>
      </c>
      <c r="H58" s="33" t="s">
        <v>48</v>
      </c>
      <c r="I58" s="25">
        <v>0.75</v>
      </c>
      <c r="J58" s="33" t="s">
        <v>49</v>
      </c>
      <c r="K58" s="25">
        <f t="shared" si="1"/>
        <v>53.759999999999991</v>
      </c>
      <c r="L58" s="21" t="s">
        <v>8</v>
      </c>
      <c r="M58" s="33"/>
    </row>
    <row r="59" spans="1:13" ht="15" x14ac:dyDescent="0.2">
      <c r="B59" s="31"/>
      <c r="C59" s="21">
        <v>1</v>
      </c>
      <c r="D59" s="23" t="s">
        <v>48</v>
      </c>
      <c r="E59" s="32">
        <v>5.6</v>
      </c>
      <c r="F59" s="24" t="s">
        <v>48</v>
      </c>
      <c r="G59" s="24">
        <v>12.8</v>
      </c>
      <c r="H59" s="33" t="s">
        <v>48</v>
      </c>
      <c r="I59" s="25">
        <v>0.75</v>
      </c>
      <c r="J59" s="33" t="s">
        <v>49</v>
      </c>
      <c r="K59" s="25">
        <f t="shared" si="1"/>
        <v>53.759999999999991</v>
      </c>
      <c r="L59" s="21" t="s">
        <v>8</v>
      </c>
      <c r="M59" s="33"/>
    </row>
    <row r="60" spans="1:13" ht="15.75" customHeight="1" x14ac:dyDescent="0.2">
      <c r="B60" s="31" t="s">
        <v>51</v>
      </c>
      <c r="C60" s="21">
        <v>1</v>
      </c>
      <c r="D60" s="23" t="s">
        <v>48</v>
      </c>
      <c r="E60" s="32">
        <v>8.5</v>
      </c>
      <c r="F60" s="24" t="s">
        <v>48</v>
      </c>
      <c r="G60" s="32">
        <v>1.05</v>
      </c>
      <c r="H60" s="33" t="s">
        <v>48</v>
      </c>
      <c r="I60" s="25">
        <v>5.0999999999999996</v>
      </c>
      <c r="J60" s="33" t="s">
        <v>49</v>
      </c>
      <c r="K60" s="25">
        <f t="shared" si="1"/>
        <v>45.517499999999998</v>
      </c>
      <c r="L60" s="21" t="s">
        <v>8</v>
      </c>
      <c r="M60" s="33"/>
    </row>
    <row r="61" spans="1:13" ht="15" x14ac:dyDescent="0.2">
      <c r="B61" s="31" t="s">
        <v>56</v>
      </c>
      <c r="C61" s="21">
        <v>2</v>
      </c>
      <c r="D61" s="23" t="s">
        <v>48</v>
      </c>
      <c r="E61" s="32">
        <v>5.5</v>
      </c>
      <c r="F61" s="24" t="s">
        <v>48</v>
      </c>
      <c r="G61" s="32">
        <v>0.75</v>
      </c>
      <c r="H61" s="33" t="s">
        <v>48</v>
      </c>
      <c r="I61" s="25">
        <v>7.25</v>
      </c>
      <c r="J61" s="33" t="s">
        <v>49</v>
      </c>
      <c r="K61" s="25">
        <f t="shared" si="1"/>
        <v>59.8125</v>
      </c>
      <c r="L61" s="21" t="s">
        <v>8</v>
      </c>
      <c r="M61" s="33"/>
    </row>
    <row r="62" spans="1:13" ht="15" x14ac:dyDescent="0.2">
      <c r="B62" s="31" t="s">
        <v>57</v>
      </c>
      <c r="C62" s="21">
        <v>1</v>
      </c>
      <c r="D62" s="23" t="s">
        <v>48</v>
      </c>
      <c r="E62" s="32">
        <v>8.8000000000000007</v>
      </c>
      <c r="F62" s="24" t="s">
        <v>48</v>
      </c>
      <c r="G62" s="32">
        <v>0.9</v>
      </c>
      <c r="H62" s="33" t="s">
        <v>48</v>
      </c>
      <c r="I62" s="25">
        <v>0.4</v>
      </c>
      <c r="J62" s="33" t="s">
        <v>49</v>
      </c>
      <c r="K62" s="25">
        <f t="shared" si="1"/>
        <v>3.1680000000000006</v>
      </c>
      <c r="L62" s="21" t="s">
        <v>8</v>
      </c>
      <c r="M62" s="33"/>
    </row>
    <row r="63" spans="1:13" ht="15" x14ac:dyDescent="0.2">
      <c r="E63" s="34"/>
      <c r="F63" s="35"/>
      <c r="G63" s="36" t="s">
        <v>52</v>
      </c>
      <c r="H63" s="37"/>
      <c r="I63" s="38"/>
      <c r="J63" s="37"/>
      <c r="K63" s="38">
        <f>SUM(K54:K62)</f>
        <v>372.08849999999995</v>
      </c>
      <c r="L63" s="39" t="s">
        <v>8</v>
      </c>
    </row>
    <row r="64" spans="1:13" s="18" customFormat="1" ht="28.5" x14ac:dyDescent="0.2">
      <c r="A64" s="29">
        <v>9</v>
      </c>
      <c r="B64" s="30" t="s">
        <v>20</v>
      </c>
    </row>
    <row r="65" spans="1:13" ht="15" x14ac:dyDescent="0.2">
      <c r="B65" s="31" t="s">
        <v>53</v>
      </c>
      <c r="C65" s="21">
        <v>2</v>
      </c>
      <c r="D65" s="23" t="s">
        <v>48</v>
      </c>
      <c r="E65" s="40">
        <v>3624</v>
      </c>
      <c r="F65" s="24"/>
      <c r="G65" s="32"/>
      <c r="H65" s="33"/>
      <c r="I65" s="25"/>
      <c r="J65" s="33" t="s">
        <v>49</v>
      </c>
      <c r="K65" s="41">
        <f>C65*E65</f>
        <v>7248</v>
      </c>
      <c r="L65" s="21" t="s">
        <v>54</v>
      </c>
      <c r="M65" s="33"/>
    </row>
    <row r="66" spans="1:13" ht="15" x14ac:dyDescent="0.2">
      <c r="B66" s="31" t="s">
        <v>50</v>
      </c>
      <c r="C66" s="21">
        <v>3</v>
      </c>
      <c r="D66" s="23" t="s">
        <v>48</v>
      </c>
      <c r="E66" s="40">
        <v>16637</v>
      </c>
      <c r="F66" s="24"/>
      <c r="G66" s="32"/>
      <c r="H66" s="33"/>
      <c r="I66" s="25"/>
      <c r="J66" s="33" t="s">
        <v>49</v>
      </c>
      <c r="K66" s="41">
        <f>C66*E66</f>
        <v>49911</v>
      </c>
      <c r="L66" s="21" t="s">
        <v>54</v>
      </c>
      <c r="M66" s="33"/>
    </row>
    <row r="67" spans="1:13" ht="15" x14ac:dyDescent="0.2">
      <c r="E67" s="34"/>
      <c r="F67" s="35"/>
      <c r="G67" s="36" t="s">
        <v>52</v>
      </c>
      <c r="H67" s="37"/>
      <c r="I67" s="38"/>
      <c r="J67" s="37"/>
      <c r="K67" s="42">
        <f>SUM(K65:K66)</f>
        <v>57159</v>
      </c>
      <c r="L67" s="39" t="s">
        <v>54</v>
      </c>
    </row>
    <row r="68" spans="1:13" ht="15" x14ac:dyDescent="0.2">
      <c r="E68" s="34"/>
      <c r="F68" s="43"/>
      <c r="G68" s="44"/>
      <c r="H68" s="43"/>
      <c r="I68" s="34"/>
      <c r="J68" s="43"/>
      <c r="K68" s="34">
        <f>K67/1000</f>
        <v>57.158999999999999</v>
      </c>
      <c r="L68" s="45" t="s">
        <v>55</v>
      </c>
    </row>
    <row r="69" spans="1:13" s="18" customFormat="1" ht="85.5" x14ac:dyDescent="0.2">
      <c r="A69" s="29">
        <v>10</v>
      </c>
      <c r="B69" s="30" t="s">
        <v>21</v>
      </c>
    </row>
    <row r="70" spans="1:13" ht="15" x14ac:dyDescent="0.2">
      <c r="B70" s="31" t="s">
        <v>58</v>
      </c>
      <c r="C70" s="21">
        <v>2</v>
      </c>
      <c r="D70" s="23" t="s">
        <v>48</v>
      </c>
      <c r="E70" s="21">
        <v>7</v>
      </c>
      <c r="F70" s="23" t="s">
        <v>48</v>
      </c>
      <c r="G70" s="24">
        <v>5.25</v>
      </c>
      <c r="J70" s="46" t="s">
        <v>49</v>
      </c>
      <c r="K70" s="24">
        <f t="shared" ref="K70:K78" si="2">C70*E70*G70</f>
        <v>73.5</v>
      </c>
      <c r="L70" s="21" t="s">
        <v>59</v>
      </c>
      <c r="M70" s="33"/>
    </row>
    <row r="71" spans="1:13" ht="15" x14ac:dyDescent="0.2">
      <c r="B71" s="31"/>
      <c r="C71" s="21">
        <v>2</v>
      </c>
      <c r="D71" s="23" t="s">
        <v>48</v>
      </c>
      <c r="E71" s="21">
        <v>7</v>
      </c>
      <c r="F71" s="23" t="s">
        <v>48</v>
      </c>
      <c r="G71" s="24">
        <v>4.5</v>
      </c>
      <c r="J71" s="46" t="s">
        <v>49</v>
      </c>
      <c r="K71" s="24">
        <f t="shared" si="2"/>
        <v>63</v>
      </c>
      <c r="L71" s="21" t="s">
        <v>59</v>
      </c>
      <c r="M71" s="33"/>
    </row>
    <row r="72" spans="1:13" ht="15" x14ac:dyDescent="0.2">
      <c r="B72" s="31"/>
      <c r="C72" s="21">
        <v>2</v>
      </c>
      <c r="D72" s="23" t="s">
        <v>48</v>
      </c>
      <c r="E72" s="21">
        <v>7</v>
      </c>
      <c r="F72" s="23" t="s">
        <v>48</v>
      </c>
      <c r="G72" s="24">
        <v>3.5</v>
      </c>
      <c r="J72" s="46" t="s">
        <v>49</v>
      </c>
      <c r="K72" s="24">
        <f t="shared" si="2"/>
        <v>49</v>
      </c>
      <c r="L72" s="21" t="s">
        <v>59</v>
      </c>
      <c r="M72" s="33"/>
    </row>
    <row r="73" spans="1:13" ht="15" x14ac:dyDescent="0.2">
      <c r="B73" s="31"/>
      <c r="C73" s="21">
        <v>2</v>
      </c>
      <c r="D73" s="23" t="s">
        <v>48</v>
      </c>
      <c r="E73" s="21">
        <v>7</v>
      </c>
      <c r="F73" s="23" t="s">
        <v>48</v>
      </c>
      <c r="G73" s="24">
        <v>2.5</v>
      </c>
      <c r="J73" s="46" t="s">
        <v>49</v>
      </c>
      <c r="K73" s="24">
        <f t="shared" si="2"/>
        <v>35</v>
      </c>
      <c r="L73" s="21" t="s">
        <v>59</v>
      </c>
      <c r="M73" s="33"/>
    </row>
    <row r="74" spans="1:13" ht="15.75" customHeight="1" x14ac:dyDescent="0.2">
      <c r="B74" s="31"/>
      <c r="C74" s="21">
        <v>2</v>
      </c>
      <c r="D74" s="23" t="s">
        <v>48</v>
      </c>
      <c r="E74" s="21">
        <v>7</v>
      </c>
      <c r="F74" s="23" t="s">
        <v>48</v>
      </c>
      <c r="G74" s="24">
        <v>1.5</v>
      </c>
      <c r="J74" s="46" t="s">
        <v>49</v>
      </c>
      <c r="K74" s="24">
        <f t="shared" si="2"/>
        <v>21</v>
      </c>
      <c r="L74" s="21" t="s">
        <v>59</v>
      </c>
      <c r="M74" s="33"/>
    </row>
    <row r="75" spans="1:13" ht="15" x14ac:dyDescent="0.2">
      <c r="B75" s="31" t="s">
        <v>60</v>
      </c>
      <c r="C75" s="21">
        <v>4</v>
      </c>
      <c r="D75" s="23" t="s">
        <v>48</v>
      </c>
      <c r="E75" s="21">
        <v>5</v>
      </c>
      <c r="F75" s="23" t="s">
        <v>48</v>
      </c>
      <c r="G75" s="24">
        <v>3.5</v>
      </c>
      <c r="J75" s="46" t="s">
        <v>49</v>
      </c>
      <c r="K75" s="24">
        <f t="shared" si="2"/>
        <v>70</v>
      </c>
      <c r="L75" s="21" t="s">
        <v>59</v>
      </c>
      <c r="M75" s="33"/>
    </row>
    <row r="76" spans="1:13" ht="15" x14ac:dyDescent="0.2">
      <c r="B76" s="31"/>
      <c r="C76" s="21">
        <v>4</v>
      </c>
      <c r="D76" s="23" t="s">
        <v>48</v>
      </c>
      <c r="E76" s="21">
        <v>5</v>
      </c>
      <c r="F76" s="23" t="s">
        <v>48</v>
      </c>
      <c r="G76" s="24">
        <v>2.5</v>
      </c>
      <c r="J76" s="46" t="s">
        <v>49</v>
      </c>
      <c r="K76" s="24">
        <f t="shared" si="2"/>
        <v>50</v>
      </c>
      <c r="L76" s="21" t="s">
        <v>59</v>
      </c>
      <c r="M76" s="33"/>
    </row>
    <row r="77" spans="1:13" ht="15" x14ac:dyDescent="0.2">
      <c r="B77" s="31"/>
      <c r="C77" s="21">
        <v>4</v>
      </c>
      <c r="D77" s="23" t="s">
        <v>48</v>
      </c>
      <c r="E77" s="21">
        <v>5</v>
      </c>
      <c r="F77" s="23" t="s">
        <v>48</v>
      </c>
      <c r="G77" s="24">
        <v>1.5</v>
      </c>
      <c r="J77" s="46" t="s">
        <v>49</v>
      </c>
      <c r="K77" s="24">
        <f t="shared" si="2"/>
        <v>30</v>
      </c>
      <c r="L77" s="21" t="s">
        <v>59</v>
      </c>
      <c r="M77" s="33"/>
    </row>
    <row r="78" spans="1:13" ht="15" x14ac:dyDescent="0.2">
      <c r="B78" s="31"/>
      <c r="C78" s="21">
        <v>4</v>
      </c>
      <c r="D78" s="23" t="s">
        <v>48</v>
      </c>
      <c r="E78" s="21">
        <v>5</v>
      </c>
      <c r="F78" s="23" t="s">
        <v>48</v>
      </c>
      <c r="G78" s="24">
        <v>0.85</v>
      </c>
      <c r="J78" s="46" t="s">
        <v>49</v>
      </c>
      <c r="K78" s="24">
        <f t="shared" si="2"/>
        <v>17</v>
      </c>
      <c r="L78" s="21" t="s">
        <v>59</v>
      </c>
      <c r="M78" s="33"/>
    </row>
    <row r="79" spans="1:13" ht="15" x14ac:dyDescent="0.2">
      <c r="E79" s="34"/>
      <c r="F79" s="35"/>
      <c r="G79" s="36" t="s">
        <v>52</v>
      </c>
      <c r="H79" s="37"/>
      <c r="I79" s="38"/>
      <c r="J79" s="37"/>
      <c r="K79" s="38">
        <f>SUM(K70:K78)</f>
        <v>408.5</v>
      </c>
      <c r="L79" s="39" t="s">
        <v>59</v>
      </c>
    </row>
    <row r="80" spans="1:13" s="18" customFormat="1" ht="85.5" x14ac:dyDescent="0.2">
      <c r="A80" s="29">
        <v>11</v>
      </c>
      <c r="B80" s="30" t="s">
        <v>24</v>
      </c>
    </row>
    <row r="81" spans="1:13" ht="15" x14ac:dyDescent="0.2">
      <c r="B81" s="31"/>
      <c r="C81" s="21">
        <v>1</v>
      </c>
      <c r="D81" s="23" t="s">
        <v>48</v>
      </c>
      <c r="E81" s="32">
        <v>1.8</v>
      </c>
      <c r="F81" s="24" t="s">
        <v>48</v>
      </c>
      <c r="G81" s="32">
        <v>2</v>
      </c>
      <c r="H81" s="33" t="s">
        <v>48</v>
      </c>
      <c r="I81" s="25">
        <v>0.3</v>
      </c>
      <c r="J81" s="33" t="s">
        <v>49</v>
      </c>
      <c r="K81" s="25">
        <f t="shared" ref="K81:K86" si="3">IF(C81,C81*E81*G81*I81,"")</f>
        <v>1.08</v>
      </c>
      <c r="L81" s="21" t="s">
        <v>8</v>
      </c>
      <c r="M81" s="33"/>
    </row>
    <row r="82" spans="1:13" ht="15" x14ac:dyDescent="0.2">
      <c r="B82" s="31"/>
      <c r="C82" s="21">
        <v>1</v>
      </c>
      <c r="D82" s="23" t="s">
        <v>48</v>
      </c>
      <c r="E82" s="32">
        <v>2.6</v>
      </c>
      <c r="F82" s="24" t="s">
        <v>48</v>
      </c>
      <c r="G82" s="24">
        <v>2.8</v>
      </c>
      <c r="H82" s="33" t="s">
        <v>48</v>
      </c>
      <c r="I82" s="25">
        <v>0.3</v>
      </c>
      <c r="J82" s="33" t="s">
        <v>49</v>
      </c>
      <c r="K82" s="25">
        <f t="shared" si="3"/>
        <v>2.1839999999999997</v>
      </c>
      <c r="L82" s="21" t="s">
        <v>8</v>
      </c>
      <c r="M82" s="33"/>
    </row>
    <row r="83" spans="1:13" ht="15" x14ac:dyDescent="0.2">
      <c r="B83" s="31"/>
      <c r="C83" s="21">
        <v>1</v>
      </c>
      <c r="D83" s="23" t="s">
        <v>48</v>
      </c>
      <c r="E83" s="32">
        <v>2.5</v>
      </c>
      <c r="F83" s="24" t="s">
        <v>48</v>
      </c>
      <c r="G83" s="24">
        <v>2.7</v>
      </c>
      <c r="H83" s="33" t="s">
        <v>48</v>
      </c>
      <c r="I83" s="25">
        <v>0.3</v>
      </c>
      <c r="J83" s="33" t="s">
        <v>49</v>
      </c>
      <c r="K83" s="25">
        <f t="shared" si="3"/>
        <v>2.0249999999999999</v>
      </c>
      <c r="L83" s="21" t="s">
        <v>8</v>
      </c>
      <c r="M83" s="33"/>
    </row>
    <row r="84" spans="1:13" ht="15" x14ac:dyDescent="0.2">
      <c r="B84" s="31"/>
      <c r="C84" s="21">
        <v>1</v>
      </c>
      <c r="D84" s="23" t="s">
        <v>48</v>
      </c>
      <c r="E84" s="32">
        <v>2.1</v>
      </c>
      <c r="F84" s="24" t="s">
        <v>48</v>
      </c>
      <c r="G84" s="24">
        <v>2.2999999999999998</v>
      </c>
      <c r="H84" s="33" t="s">
        <v>48</v>
      </c>
      <c r="I84" s="25">
        <v>0.3</v>
      </c>
      <c r="J84" s="33" t="s">
        <v>49</v>
      </c>
      <c r="K84" s="25">
        <f t="shared" si="3"/>
        <v>1.4490000000000001</v>
      </c>
      <c r="L84" s="21" t="s">
        <v>8</v>
      </c>
      <c r="M84" s="33"/>
    </row>
    <row r="85" spans="1:13" ht="15.75" customHeight="1" x14ac:dyDescent="0.2">
      <c r="B85" s="31"/>
      <c r="C85" s="21">
        <v>1</v>
      </c>
      <c r="D85" s="23" t="s">
        <v>48</v>
      </c>
      <c r="E85" s="32">
        <v>2.2000000000000002</v>
      </c>
      <c r="F85" s="24" t="s">
        <v>48</v>
      </c>
      <c r="G85" s="24">
        <v>2.5</v>
      </c>
      <c r="H85" s="33" t="s">
        <v>48</v>
      </c>
      <c r="I85" s="25">
        <v>0.3</v>
      </c>
      <c r="J85" s="33" t="s">
        <v>49</v>
      </c>
      <c r="K85" s="25">
        <f t="shared" si="3"/>
        <v>1.65</v>
      </c>
      <c r="L85" s="21" t="s">
        <v>8</v>
      </c>
      <c r="M85" s="33"/>
    </row>
    <row r="86" spans="1:13" ht="15.75" customHeight="1" x14ac:dyDescent="0.2">
      <c r="B86" s="31"/>
      <c r="C86" s="21">
        <v>1</v>
      </c>
      <c r="D86" s="23" t="s">
        <v>48</v>
      </c>
      <c r="E86" s="32">
        <v>2.2999999999999998</v>
      </c>
      <c r="F86" s="24" t="s">
        <v>48</v>
      </c>
      <c r="G86" s="24">
        <v>2.5</v>
      </c>
      <c r="H86" s="33" t="s">
        <v>48</v>
      </c>
      <c r="I86" s="25">
        <v>0.3</v>
      </c>
      <c r="J86" s="33" t="s">
        <v>49</v>
      </c>
      <c r="K86" s="25">
        <f t="shared" si="3"/>
        <v>1.7249999999999999</v>
      </c>
      <c r="L86" s="21" t="s">
        <v>8</v>
      </c>
      <c r="M86" s="33"/>
    </row>
    <row r="87" spans="1:13" ht="15" x14ac:dyDescent="0.2">
      <c r="E87" s="34"/>
      <c r="F87" s="35"/>
      <c r="G87" s="36" t="s">
        <v>52</v>
      </c>
      <c r="H87" s="37"/>
      <c r="I87" s="38"/>
      <c r="J87" s="37"/>
      <c r="K87" s="38">
        <f>SUM(K81:K86)</f>
        <v>10.113</v>
      </c>
      <c r="L87" s="39" t="s">
        <v>8</v>
      </c>
    </row>
    <row r="88" spans="1:13" s="18" customFormat="1" ht="71.25" x14ac:dyDescent="0.2">
      <c r="A88" s="29">
        <v>12</v>
      </c>
      <c r="B88" s="30" t="s">
        <v>61</v>
      </c>
    </row>
    <row r="89" spans="1:13" ht="15" x14ac:dyDescent="0.2">
      <c r="B89" s="31" t="s">
        <v>62</v>
      </c>
      <c r="C89" s="21">
        <v>2</v>
      </c>
      <c r="D89" s="23" t="s">
        <v>48</v>
      </c>
      <c r="E89" s="32">
        <v>7.9</v>
      </c>
      <c r="F89" s="24" t="s">
        <v>48</v>
      </c>
      <c r="G89" s="32">
        <v>3.1</v>
      </c>
      <c r="H89" s="33" t="s">
        <v>48</v>
      </c>
      <c r="I89" s="25">
        <v>4.5</v>
      </c>
      <c r="J89" s="33" t="s">
        <v>49</v>
      </c>
      <c r="K89" s="25">
        <f>IF(C89,C89*E89*G89*I89,"")</f>
        <v>220.41000000000003</v>
      </c>
      <c r="L89" s="21" t="s">
        <v>8</v>
      </c>
      <c r="M89" s="33"/>
    </row>
    <row r="90" spans="1:13" ht="15" x14ac:dyDescent="0.2">
      <c r="B90" s="31" t="s">
        <v>63</v>
      </c>
      <c r="C90" s="21">
        <v>4</v>
      </c>
      <c r="D90" s="23" t="s">
        <v>48</v>
      </c>
      <c r="E90" s="32">
        <v>4.8</v>
      </c>
      <c r="F90" s="24" t="s">
        <v>48</v>
      </c>
      <c r="G90" s="24">
        <v>2.2999999999999998</v>
      </c>
      <c r="H90" s="33" t="s">
        <v>48</v>
      </c>
      <c r="I90" s="25">
        <v>4.5</v>
      </c>
      <c r="J90" s="33" t="s">
        <v>49</v>
      </c>
      <c r="K90" s="25">
        <f>IF(C90,C90*E90*G90*I90,"")</f>
        <v>198.71999999999997</v>
      </c>
      <c r="L90" s="21" t="s">
        <v>8</v>
      </c>
      <c r="M90" s="33"/>
    </row>
    <row r="91" spans="1:13" ht="15" x14ac:dyDescent="0.2">
      <c r="E91" s="34"/>
      <c r="F91" s="47"/>
      <c r="G91" s="48" t="s">
        <v>52</v>
      </c>
      <c r="H91" s="49"/>
      <c r="I91" s="50"/>
      <c r="J91" s="49"/>
      <c r="K91" s="50">
        <f>SUM(K89:K90)</f>
        <v>419.13</v>
      </c>
      <c r="L91" s="51" t="s">
        <v>8</v>
      </c>
    </row>
    <row r="92" spans="1:13" s="18" customFormat="1" ht="156.75" x14ac:dyDescent="0.2">
      <c r="A92" s="29">
        <v>13</v>
      </c>
      <c r="B92" s="30" t="s">
        <v>26</v>
      </c>
      <c r="C92" s="52"/>
      <c r="D92" s="53"/>
      <c r="E92" s="29"/>
      <c r="F92" s="53"/>
      <c r="G92" s="52"/>
    </row>
    <row r="93" spans="1:13" ht="15" x14ac:dyDescent="0.2">
      <c r="B93" s="54" t="s">
        <v>64</v>
      </c>
      <c r="C93" s="21">
        <v>4</v>
      </c>
      <c r="D93" s="23" t="s">
        <v>48</v>
      </c>
      <c r="E93" s="32">
        <v>10</v>
      </c>
      <c r="F93" s="24" t="s">
        <v>48</v>
      </c>
      <c r="G93" s="24">
        <v>8.5</v>
      </c>
      <c r="H93" s="33" t="s">
        <v>48</v>
      </c>
      <c r="I93" s="25">
        <v>0.77</v>
      </c>
      <c r="J93" s="33" t="s">
        <v>49</v>
      </c>
      <c r="K93" s="25">
        <f>IF(C93,C93*E93*G93*I93,"")</f>
        <v>261.8</v>
      </c>
      <c r="L93" s="21" t="s">
        <v>8</v>
      </c>
      <c r="M93" s="33"/>
    </row>
    <row r="94" spans="1:13" ht="15" x14ac:dyDescent="0.2">
      <c r="B94" s="54" t="s">
        <v>65</v>
      </c>
      <c r="C94" s="21">
        <v>4</v>
      </c>
      <c r="D94" s="23" t="s">
        <v>48</v>
      </c>
      <c r="E94" s="32">
        <v>10</v>
      </c>
      <c r="F94" s="24" t="s">
        <v>48</v>
      </c>
      <c r="G94" s="24">
        <v>0.79</v>
      </c>
      <c r="H94" s="33" t="s">
        <v>48</v>
      </c>
      <c r="I94" s="25">
        <v>0.56000000000000005</v>
      </c>
      <c r="J94" s="33" t="s">
        <v>49</v>
      </c>
      <c r="K94" s="25">
        <f>IF(C94,C94*E94*G94*I94,"")</f>
        <v>17.696000000000002</v>
      </c>
      <c r="L94" s="21" t="s">
        <v>8</v>
      </c>
      <c r="M94" s="33"/>
    </row>
    <row r="95" spans="1:13" ht="15" x14ac:dyDescent="0.2">
      <c r="B95" s="54" t="s">
        <v>66</v>
      </c>
      <c r="C95" s="21">
        <v>2</v>
      </c>
      <c r="D95" s="23" t="s">
        <v>48</v>
      </c>
      <c r="E95" s="32">
        <v>51</v>
      </c>
      <c r="F95" s="24" t="s">
        <v>48</v>
      </c>
      <c r="G95" s="24">
        <v>0.75</v>
      </c>
      <c r="H95" s="33" t="s">
        <v>48</v>
      </c>
      <c r="I95" s="25">
        <v>0.23</v>
      </c>
      <c r="J95" s="33" t="s">
        <v>49</v>
      </c>
      <c r="K95" s="25">
        <f>IF(C95,C95*E95*G95*I95,"")</f>
        <v>17.595000000000002</v>
      </c>
      <c r="L95" s="21" t="s">
        <v>8</v>
      </c>
      <c r="M95" s="33"/>
    </row>
    <row r="96" spans="1:13" ht="15" x14ac:dyDescent="0.2">
      <c r="E96" s="34"/>
      <c r="F96" s="35"/>
      <c r="G96" s="36" t="s">
        <v>52</v>
      </c>
      <c r="H96" s="37"/>
      <c r="I96" s="38"/>
      <c r="J96" s="37"/>
      <c r="K96" s="38">
        <f>SUM(K93:K95)</f>
        <v>297.09100000000007</v>
      </c>
      <c r="L96" s="39" t="s">
        <v>8</v>
      </c>
    </row>
    <row r="97" spans="1:13" s="18" customFormat="1" ht="28.5" x14ac:dyDescent="0.2">
      <c r="A97" s="29">
        <v>14</v>
      </c>
      <c r="B97" s="30" t="s">
        <v>27</v>
      </c>
      <c r="C97" s="46"/>
      <c r="D97" s="53"/>
      <c r="E97" s="29"/>
      <c r="F97" s="53"/>
      <c r="G97" s="52"/>
    </row>
    <row r="98" spans="1:13" ht="28.5" x14ac:dyDescent="0.2">
      <c r="B98" s="22" t="s">
        <v>67</v>
      </c>
      <c r="E98" s="55">
        <v>27064</v>
      </c>
      <c r="F98" s="55" t="s">
        <v>54</v>
      </c>
      <c r="G98" s="23"/>
      <c r="H98" s="43"/>
      <c r="I98" s="34"/>
      <c r="J98" s="43"/>
      <c r="K98" s="34">
        <f>E98/1000</f>
        <v>27.064</v>
      </c>
      <c r="L98" s="45" t="s">
        <v>55</v>
      </c>
    </row>
    <row r="99" spans="1:13" s="18" customFormat="1" ht="85.5" x14ac:dyDescent="0.2">
      <c r="A99" s="29">
        <v>15</v>
      </c>
      <c r="B99" s="30" t="s">
        <v>28</v>
      </c>
      <c r="C99" s="52"/>
      <c r="D99" s="53"/>
      <c r="E99" s="29"/>
      <c r="F99" s="53"/>
      <c r="G99" s="52"/>
    </row>
    <row r="100" spans="1:13" ht="15" x14ac:dyDescent="0.2">
      <c r="B100" s="31"/>
      <c r="C100" s="21">
        <v>1</v>
      </c>
      <c r="D100" s="23" t="s">
        <v>48</v>
      </c>
      <c r="E100" s="32">
        <v>51.25</v>
      </c>
      <c r="F100" s="24" t="s">
        <v>48</v>
      </c>
      <c r="G100" s="24">
        <v>8.5</v>
      </c>
      <c r="H100" s="33" t="s">
        <v>48</v>
      </c>
      <c r="I100" s="25">
        <v>0.1</v>
      </c>
      <c r="J100" s="33" t="s">
        <v>49</v>
      </c>
      <c r="K100" s="25">
        <f>IF(C100,C100*E100*G100*I100,"")</f>
        <v>43.5625</v>
      </c>
      <c r="L100" s="21" t="s">
        <v>8</v>
      </c>
      <c r="M100" s="33"/>
    </row>
    <row r="101" spans="1:13" ht="15" x14ac:dyDescent="0.2">
      <c r="E101" s="34"/>
      <c r="F101" s="35"/>
      <c r="G101" s="36" t="s">
        <v>52</v>
      </c>
      <c r="H101" s="37"/>
      <c r="I101" s="38"/>
      <c r="J101" s="37"/>
      <c r="K101" s="38">
        <f>SUM(K99:K100)</f>
        <v>43.5625</v>
      </c>
      <c r="L101" s="39" t="s">
        <v>8</v>
      </c>
    </row>
    <row r="102" spans="1:13" s="18" customFormat="1" ht="71.25" x14ac:dyDescent="0.2">
      <c r="A102" s="29">
        <v>16</v>
      </c>
      <c r="B102" s="30" t="s">
        <v>29</v>
      </c>
      <c r="C102" s="52"/>
      <c r="D102" s="53"/>
      <c r="E102" s="29"/>
      <c r="F102" s="53"/>
      <c r="G102" s="52"/>
    </row>
    <row r="103" spans="1:13" ht="15" x14ac:dyDescent="0.2">
      <c r="B103" s="31"/>
      <c r="C103" s="21">
        <v>2</v>
      </c>
      <c r="D103" s="23" t="s">
        <v>48</v>
      </c>
      <c r="E103" s="32">
        <v>7.9</v>
      </c>
      <c r="F103" s="24" t="s">
        <v>48</v>
      </c>
      <c r="G103" s="24">
        <v>4.5</v>
      </c>
      <c r="H103" s="33" t="s">
        <v>48</v>
      </c>
      <c r="I103" s="25">
        <v>0.2</v>
      </c>
      <c r="J103" s="33" t="s">
        <v>49</v>
      </c>
      <c r="K103" s="25">
        <f>IF(C103,C103*E103*G103*I103,"")</f>
        <v>14.220000000000002</v>
      </c>
      <c r="L103" s="21" t="s">
        <v>8</v>
      </c>
      <c r="M103" s="33"/>
    </row>
    <row r="104" spans="1:13" ht="15" x14ac:dyDescent="0.2">
      <c r="E104" s="34"/>
      <c r="F104" s="35"/>
      <c r="G104" s="36" t="s">
        <v>52</v>
      </c>
      <c r="H104" s="37"/>
      <c r="I104" s="38"/>
      <c r="J104" s="37"/>
      <c r="K104" s="38">
        <f>SUM(K102:K103)</f>
        <v>14.220000000000002</v>
      </c>
      <c r="L104" s="39" t="s">
        <v>8</v>
      </c>
    </row>
    <row r="105" spans="1:13" s="18" customFormat="1" ht="71.25" x14ac:dyDescent="0.2">
      <c r="A105" s="29">
        <v>17</v>
      </c>
      <c r="B105" s="30" t="s">
        <v>68</v>
      </c>
      <c r="C105" s="52"/>
      <c r="D105" s="53"/>
      <c r="E105" s="29"/>
      <c r="F105" s="53"/>
      <c r="G105" s="52"/>
    </row>
    <row r="106" spans="1:13" ht="15" x14ac:dyDescent="0.2">
      <c r="B106" s="31"/>
      <c r="C106" s="21">
        <v>2</v>
      </c>
      <c r="D106" s="23" t="s">
        <v>48</v>
      </c>
      <c r="E106" s="32">
        <v>7.9</v>
      </c>
      <c r="F106" s="24" t="s">
        <v>48</v>
      </c>
      <c r="G106" s="24">
        <v>4.5</v>
      </c>
      <c r="H106" s="33" t="s">
        <v>48</v>
      </c>
      <c r="I106" s="25">
        <v>0.3</v>
      </c>
      <c r="J106" s="33" t="s">
        <v>49</v>
      </c>
      <c r="K106" s="25">
        <f>IF(C106,C106*E106*G106*I106,"")</f>
        <v>21.330000000000002</v>
      </c>
      <c r="L106" s="21" t="s">
        <v>8</v>
      </c>
      <c r="M106" s="33"/>
    </row>
    <row r="107" spans="1:13" ht="15" x14ac:dyDescent="0.2">
      <c r="E107" s="34"/>
      <c r="F107" s="35"/>
      <c r="G107" s="36" t="s">
        <v>52</v>
      </c>
      <c r="H107" s="37"/>
      <c r="I107" s="38"/>
      <c r="J107" s="37"/>
      <c r="K107" s="38">
        <f>SUM(K105:K106)</f>
        <v>21.330000000000002</v>
      </c>
      <c r="L107" s="39" t="s">
        <v>8</v>
      </c>
    </row>
    <row r="108" spans="1:13" s="18" customFormat="1" ht="71.25" x14ac:dyDescent="0.2">
      <c r="A108" s="29">
        <v>18</v>
      </c>
      <c r="B108" s="30" t="s">
        <v>31</v>
      </c>
      <c r="C108" s="52"/>
      <c r="D108" s="53"/>
      <c r="E108" s="29"/>
      <c r="F108" s="53"/>
      <c r="G108" s="52"/>
    </row>
    <row r="109" spans="1:13" ht="15" x14ac:dyDescent="0.2">
      <c r="B109" s="31"/>
      <c r="C109" s="21">
        <v>5</v>
      </c>
      <c r="D109" s="23" t="s">
        <v>48</v>
      </c>
      <c r="E109" s="32">
        <v>8.5</v>
      </c>
      <c r="F109" s="24" t="s">
        <v>48</v>
      </c>
      <c r="G109" s="24">
        <v>0.75</v>
      </c>
      <c r="H109" s="33"/>
      <c r="I109" s="25"/>
      <c r="J109" s="33" t="s">
        <v>49</v>
      </c>
      <c r="K109" s="25">
        <f>C109*E109*G109</f>
        <v>31.875</v>
      </c>
      <c r="L109" s="21" t="s">
        <v>69</v>
      </c>
      <c r="M109" s="33"/>
    </row>
    <row r="110" spans="1:13" ht="15" x14ac:dyDescent="0.2">
      <c r="E110" s="34"/>
      <c r="F110" s="35"/>
      <c r="G110" s="36" t="s">
        <v>52</v>
      </c>
      <c r="H110" s="37"/>
      <c r="I110" s="38"/>
      <c r="J110" s="37"/>
      <c r="K110" s="38">
        <f>SUM(K108:K109)</f>
        <v>31.875</v>
      </c>
      <c r="L110" s="39" t="s">
        <v>8</v>
      </c>
    </row>
  </sheetData>
  <mergeCells count="2">
    <mergeCell ref="A1:L1"/>
    <mergeCell ref="A2:L2"/>
  </mergeCells>
  <dataValidations count="3">
    <dataValidation type="decimal" allowBlank="1" showInputMessage="1" showErrorMessage="1" errorTitle="Invalid Entry" error="Only Numeric Values are allowed." sqref="A4 A11 A18 A25 A32 A41 A46 A53 A64 A69 A80 A88 A92 A97 A99 A102 A105 A108">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92 E97 E99 E102 E105 E108">
      <formula1>0</formula1>
      <formula2>999999999999999</formula2>
    </dataValidation>
    <dataValidation type="decimal" allowBlank="1" showInputMessage="1" showErrorMessage="1" errorTitle="Invalid Entry" error="Only Numeric Values are allowed. " promptTitle="Quantity" prompt="Please enter the Quantity for this item. " sqref="C92 C97 C99 C102 C105 C108">
      <formula1>0</formula1>
      <formula2>999999999999999</formula2>
    </dataValidation>
  </dataValidations>
  <printOptions horizontalCentered="1"/>
  <pageMargins left="0.75" right="0.75" top="0.75972222222222197" bottom="1" header="0.511811023622047" footer="0.511811023622047"/>
  <pageSetup paperSize="9" fitToHeight="11"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GF1_ABS</vt:lpstr>
      <vt:lpstr>GF1_MES</vt:lpstr>
      <vt:lpstr>GF1_ABS!Print_Titles</vt:lpstr>
      <vt:lpstr>GF1_MES!Print_Titles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RAJKUMAR</dc:creator>
  <dc:description/>
  <cp:lastModifiedBy>Rajkumar</cp:lastModifiedBy>
  <cp:revision>0</cp:revision>
  <cp:lastPrinted>2025-11-19T19:29:20Z</cp:lastPrinted>
  <dcterms:created xsi:type="dcterms:W3CDTF">1999-05-10T10:55:35Z</dcterms:created>
  <dcterms:modified xsi:type="dcterms:W3CDTF">2025-11-21T06:15:51Z</dcterms:modified>
  <dc:language>en-US</dc:language>
</cp:coreProperties>
</file>