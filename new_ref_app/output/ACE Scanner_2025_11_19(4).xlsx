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ACE Scanner_2025_11_19(4).pdf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DETAILED ESTIMATE</t>
        </is>
      </c>
    </row>
    <row r="5">
      <c r="A5" t="inlineStr">
        <is>
          <t>Name of the Road :-Construction of Aamil Fala Bridge and Road</t>
        </is>
      </c>
    </row>
    <row r="6">
      <c r="A6" t="inlineStr">
        <is>
          <t>Length et the Road( Km)</t>
        </is>
      </c>
    </row>
    <row r="7">
      <c r="A7" t="inlineStr">
        <is>
          <t>e</t>
        </is>
      </c>
    </row>
    <row r="8">
      <c r="A8" t="inlineStr">
        <is>
          <t>2</t>
        </is>
      </c>
    </row>
    <row r="9">
      <c r="A9" t="inlineStr">
        <is>
          <t>- Earthwork in excavation for foundation of</t>
        </is>
      </c>
    </row>
    <row r="10">
      <c r="A10" t="inlineStr">
        <is>
          <t>{</t>
        </is>
      </c>
    </row>
    <row r="11">
      <c r="A11" t="inlineStr">
        <is>
          <t>complete with all lif, dewatering,</t>
        </is>
      </c>
    </row>
    <row r="12">
      <c r="A12" t="inlineStr">
        <is>
          <t>y1 sructure Coe eto. Including refilling of</t>
        </is>
      </c>
    </row>
    <row r="13">
      <c r="A13" t="inlineStr">
        <is>
          <t>as spoune 250 mm layer, ramming, watering</t>
        </is>
      </c>
    </row>
    <row r="14">
      <c r="A14" t="inlineStr">
        <is>
          <t>wd disposal of surplus soll</t>
        </is>
      </c>
    </row>
    <row r="15">
      <c r="A15" t="inlineStr">
        <is>
          <t>as per drawing and technical</t>
        </is>
      </c>
    </row>
    <row r="16">
      <c r="A16" t="inlineStr">
        <is>
          <t>Earth in excavation for foundation of</t>
        </is>
      </c>
    </row>
    <row r="17">
      <c r="A17" t="inlineStr">
        <is>
          <t>specification. [MoRTH Specification : Clause</t>
        </is>
      </c>
    </row>
    <row r="18">
      <c r="A18" t="inlineStr">
        <is>
          <t>304), n ordinary soll [MORTH Specification :</t>
        </is>
      </c>
    </row>
    <row r="19">
      <c r="A19" t="inlineStr">
        <is>
          <t>clause 301] BY MECHANICAL MEANS Depth</t>
        </is>
      </c>
    </row>
    <row r="20">
      <c r="A20" t="inlineStr">
        <is>
          <t>upto $m</t>
        </is>
      </c>
    </row>
    <row r="21">
      <c r="A21" t="inlineStr">
        <is>
          <t>2 Plain Cement Concrete 1:3:6 with 40mm</t>
        </is>
      </c>
    </row>
    <row r="22">
      <c r="A22" t="inlineStr">
        <is>
          <t>3-2 nominal mix in foundation with crushed stone</t>
        </is>
      </c>
    </row>
    <row r="23">
      <c r="A23" t="inlineStr">
        <is>
          <t>§ aggregate 40mm nominal size mechanically</t>
        </is>
      </c>
    </row>
    <row r="24">
      <c r="A24" t="inlineStr">
        <is>
          <t>mixed, placed in foundation and compacted by</t>
        </is>
      </c>
    </row>
    <row r="25">
      <c r="A25" t="inlineStr">
        <is>
          <t>vibrator incl s. (MORTH</t>
        </is>
      </c>
    </row>
    <row r="26">
      <c r="A26" t="inlineStr">
        <is>
          <t>specification clause : 2100)</t>
        </is>
      </c>
    </row>
    <row r="27">
      <c r="A27" t="inlineStr">
        <is>
          <t>3 Providing &amp; laying mechanically mixed and</t>
        </is>
      </c>
    </row>
    <row r="28">
      <c r="A28" t="inlineStr">
        <is>
          <t>vibrated Cement Concrete in foundation</t>
        </is>
      </c>
    </row>
    <row r="29">
      <c r="A29" t="inlineStr">
        <is>
          <t>upto a depth of 1.5mtr, below ground level and</t>
        </is>
      </c>
    </row>
    <row r="30">
      <c r="A30" t="inlineStr">
        <is>
          <t>1.5mtr. above ground/bed level. [MoRTH</t>
        </is>
      </c>
    </row>
    <row r="31">
      <c r="A31" t="inlineStr">
        <is>
          <t>Specification : Clause 1000/1700). (a) Cement</t>
        </is>
      </c>
    </row>
    <row r="32">
      <c r="A32" t="inlineStr">
        <is>
          <t>concrete 1:3:6 mix with crushed stone</t>
        </is>
      </c>
    </row>
    <row r="33">
      <c r="A33" t="inlineStr">
        <is>
          <t>aggregate 20 mm nominal size.</t>
        </is>
      </c>
    </row>
    <row r="34">
      <c r="A34" t="inlineStr">
        <is>
          <t>Ps croiing A.C. pipe Weep holes 150mm dia in</t>
        </is>
      </c>
    </row>
    <row r="35">
      <c r="A35" t="inlineStr">
        <is>
          <t>: @sonry/plain Concrete/Reinforced Concrete</t>
        </is>
      </c>
    </row>
    <row r="36">
      <c r="A36" t="inlineStr">
        <is>
          <t>abutment, wing wall/return wail complete as</t>
        </is>
      </c>
    </row>
    <row r="37">
      <c r="A37" t="inlineStr">
        <is>
          <t>Per drawing and technical specification.</t>
        </is>
      </c>
    </row>
    <row r="38">
      <c r="A38" t="inlineStr">
        <is>
          <t>IMORTH Specification : Clause 2205].</t>
        </is>
      </c>
    </row>
    <row r="39">
      <c r="A39" t="inlineStr">
        <is>
          <t>“pohondwbe</t>
        </is>
      </c>
    </row>
    <row r="40">
      <c r="A40" t="inlineStr">
        <is>
          <t>eee</t>
        </is>
      </c>
    </row>
    <row r="41">
      <c r="A41" t="inlineStr">
        <is>
          <t>M.S, Sotw</t>
        </is>
      </c>
    </row>
    <row r="42">
      <c r="A42" t="inlineStr">
        <is>
          <t>\ Tinjor neer</t>
        </is>
      </c>
    </row>
    <row r="43">
      <c r="A43" t="inlineStr">
        <is>
          <t>"al BridpeR- Wa</t>
        </is>
      </c>
    </row>
    <row r="44">
      <c r="A44" t="inlineStr">
        <is>
          <t>District | DUNGARPUR</t>
        </is>
      </c>
    </row>
    <row r="45">
      <c r="A45" t="inlineStr">
        <is>
          <t>rT-"'N . Retaining Wall &amp; Bod Protection</t>
        </is>
      </c>
    </row>
    <row r="46">
      <c r="A46" t="inlineStr">
        <is>
          <t>ts Dessoription of item No L«(m) B(m) |</t>
        </is>
      </c>
    </row>
    <row r="47">
      <c r="A47" t="inlineStr">
        <is>
          <t>No</t>
        </is>
      </c>
    </row>
    <row r="48">
      <c r="A48" t="inlineStr">
        <is>
          <t>Oty Unit</t>
        </is>
      </c>
    </row>
    <row r="49">
      <c r="A49" t="inlineStr">
        <is>
          <t>do 1+</t>
        </is>
      </c>
    </row>
    <row r="50">
      <c r="A50" t="inlineStr">
        <is>
          <t>PLD, Spb. Bn. Trorsthoy)</t>
        </is>
      </c>
    </row>
    <row r="51">
      <c r="A51" t="inlineStr">
        <is>
          <t>1680.00 cum</t>
        </is>
      </c>
    </row>
    <row r="52">
      <c r="A52" t="inlineStr">
        <is>
          <t>1680.00 cum</t>
        </is>
      </c>
    </row>
    <row r="53">
      <c r="A53" t="inlineStr">
        <is>
          <t>167.99 cum</t>
        </is>
      </c>
    </row>
    <row r="54">
      <c r="A54" t="inlineStr">
        <is>
          <t>167.99 cum</t>
        </is>
      </c>
    </row>
    <row r="55">
      <c r="A55" t="inlineStr">
        <is>
          <t>1531.25 cum</t>
        </is>
      </c>
    </row>
    <row r="56">
      <c r="A56" t="inlineStr">
        <is>
          <t>1531.25 cum</t>
        </is>
      </c>
    </row>
    <row r="57">
      <c r="A57" t="inlineStr">
        <is>
          <t>120.00 Mtr</t>
        </is>
      </c>
    </row>
    <row r="58">
      <c r="A58" t="inlineStr">
        <is>
          <t>") | ait</t>
        </is>
      </c>
    </row>
    <row r="59">
      <c r="A59" t="inlineStr">
        <is>
          <t>Pavan Kumawat)</t>
        </is>
      </c>
    </row>
    <row r="60">
      <c r="A60" t="inlineStr">
        <is>
          <t>Assistant Engineer</t>
        </is>
      </c>
    </row>
    <row r="61">
      <c r="A61" t="inlineStr">
        <is>
          <t>PWD Sub Dn Jhonthri</t>
        </is>
      </c>
    </row>
    <row r="62">
      <c r="A62" t="inlineStr">
        <is>
          <t>is</t>
        </is>
      </c>
    </row>
    <row r="63">
      <c r="A63" t="inlineStr">
        <is>
          <t>HYDRAULIC DESIGN</t>
        </is>
      </c>
    </row>
    <row r="64">
      <c r="A64" t="inlineStr">
        <is>
          <t>Construction of Aamll Fala Bridge and Road</t>
        </is>
      </c>
    </row>
    <row r="65">
      <c r="A65" t="inlineStr">
        <is>
          <t>4000 mm dia RCC H. P. Culvert</t>
        </is>
      </c>
    </row>
    <row r="66">
      <c r="A66" t="inlineStr">
        <is>
          <t>ign °</t>
        </is>
      </c>
    </row>
    <row r="67">
      <c r="A67" t="inlineStr">
        <is>
          <t>at ered . 0.1188 Sqkm. ( 0.330 x 0,360 )</t>
        </is>
      </c>
    </row>
    <row r="68">
      <c r="A68" t="inlineStr">
        <is>
          <t>yore</t>
        </is>
      </c>
    </row>
    <row r="69">
      <c r="A69" t="inlineStr">
        <is>
          <t>pixens: Formula</t>
        </is>
      </c>
    </row>
    <row r="70">
      <c r="A70" t="inlineStr">
        <is>
          <t>; = om™</t>
        </is>
      </c>
    </row>
    <row r="71">
      <c r="A71">
        <f> | 14 0.1188 *4</f>
        <v/>
      </c>
    </row>
    <row r="72">
      <c r="A72">
        <f> 14 0.202354</f>
        <v/>
      </c>
    </row>
    <row r="73">
      <c r="A73">
        <f> 2.83296 cumecs</f>
        <v/>
      </c>
    </row>
    <row r="74">
      <c r="A74" t="inlineStr">
        <is>
          <t>pischarge which can pass through 1000 mm dia pipe</t>
        </is>
      </c>
    </row>
    <row r="75">
      <c r="A75" t="inlineStr">
        <is>
          <t>Fowing full with operating head 1.00 m.</t>
        </is>
      </c>
    </row>
    <row r="76">
      <c r="A76" t="inlineStr">
        <is>
          <t>Q = y_/2g h</t>
        </is>
      </c>
    </row>
    <row r="77">
      <c r="A77" t="inlineStr">
        <is>
          <t>Length of the pipe = 7.50 M</t>
        </is>
      </c>
    </row>
    <row r="78">
      <c r="A78" t="inlineStr">
        <is>
          <t>Diameter = 1.00 M</t>
        </is>
      </c>
    </row>
    <row r="79">
      <c r="A79" t="inlineStr">
        <is>
          <t>(From IRC Paper No.13 Plate-16/page176</t>
        </is>
      </c>
    </row>
    <row r="80">
      <c r="A80" t="inlineStr">
        <is>
          <t>for circular pipe with rounded Entry</t>
        </is>
      </c>
    </row>
    <row r="81">
      <c r="A81" t="inlineStr">
        <is>
          <t>For L= 7.50 Mand D = 1.00 M</t>
        </is>
      </c>
    </row>
    <row r="82">
      <c r="A82" t="inlineStr">
        <is>
          <t>The Conveyance Factor y = 0.686</t>
        </is>
      </c>
    </row>
    <row r="83">
      <c r="A83" t="inlineStr">
        <is>
          <t>Q = y_ “2g h</t>
        </is>
      </c>
    </row>
    <row r="84">
      <c r="A84">
        <f> 0.686 / 2 9.8 1.00</f>
        <v/>
      </c>
    </row>
    <row r="85">
      <c r="A85">
        <f> 3.037051 cumecs</f>
        <v/>
      </c>
    </row>
    <row r="86">
      <c r="A86" t="inlineStr">
        <is>
          <t>No. Of Pipes = 2.83296 = 0.932799]Nos.</t>
        </is>
      </c>
    </row>
    <row r="87">
      <c r="A87" t="inlineStr">
        <is>
          <t>3.037051</t>
        </is>
      </c>
    </row>
    <row r="88">
      <c r="A88" t="inlineStr">
        <is>
          <t>Say 1 Nos. Rows</t>
        </is>
      </c>
    </row>
    <row r="89">
      <c r="A89" t="inlineStr">
        <is>
          <t>Hence provide 1000mm dia R.C.C. Hume pipe 1 Row</t>
        </is>
      </c>
    </row>
    <row r="90">
      <c r="A90" t="inlineStr">
        <is>
          <t>pohordra Hed a weil</t>
        </is>
      </c>
    </row>
    <row r="91">
      <c r="A91" t="inlineStr">
        <is>
          <t>: so (Pavan Kumawat)</t>
        </is>
      </c>
    </row>
    <row r="92">
      <c r="A92" t="inlineStr">
        <is>
          <t>Ms 527) ™ Assistant Englneer</t>
        </is>
      </c>
    </row>
    <row r="93">
      <c r="A93" t="inlineStr">
        <is>
          <t>Tinisr Bajinteyv ; PWD Sub Dn Jhonthri</t>
        </is>
      </c>
    </row>
    <row r="94">
      <c r="A94" t="inlineStr">
        <is>
          <t>Pua Li. Dr. Grortr7)</t>
        </is>
      </c>
    </row>
    <row r="95">
      <c r="A95" t="inlineStr">
        <is>
          <t>RCC #H. P. Culvert</t>
        </is>
      </c>
    </row>
    <row r="96">
      <c r="A96">
        <f> 0.32 Sqkm. ( 0.400</f>
        <v/>
      </c>
    </row>
    <row r="97">
      <c r="A97" t="inlineStr">
        <is>
          <t>cm</t>
        </is>
      </c>
    </row>
    <row r="98">
      <c r="A98" t="inlineStr">
        <is>
          <t>14 0.32 *</t>
        </is>
      </c>
    </row>
    <row r="99">
      <c r="A99" t="inlineStr">
        <is>
          <t>14 0.425464</t>
        </is>
      </c>
    </row>
    <row r="100">
      <c r="A100" t="inlineStr">
        <is>
          <t>§,.956481 cumecs</t>
        </is>
      </c>
    </row>
    <row r="101">
      <c r="A101" t="inlineStr">
        <is>
          <t>pischerge which can pass through 1000 mm dia pipe</t>
        </is>
      </c>
    </row>
    <row r="102">
      <c r="A102" t="inlineStr">
        <is>
          <t>x 0,800 }</t>
        </is>
      </c>
    </row>
    <row r="103">
      <c r="A103" t="inlineStr">
        <is>
          <t>Flowing full with operating head 1.00 m.</t>
        </is>
      </c>
    </row>
    <row r="104">
      <c r="A104" t="inlineStr">
        <is>
          <t>Q a y Zag h</t>
        </is>
      </c>
    </row>
    <row r="105">
      <c r="A105" t="inlineStr">
        <is>
          <t>Length of the pipe= 7.50 M</t>
        </is>
      </c>
    </row>
    <row r="106">
      <c r="A106" t="inlineStr">
        <is>
          <t>Diameter = 1.00 M</t>
        </is>
      </c>
    </row>
    <row r="107">
      <c r="A107" t="inlineStr">
        <is>
          <t>( From IRC Paper No.13 Plate-16/page176</t>
        </is>
      </c>
    </row>
    <row r="108">
      <c r="A108" t="inlineStr">
        <is>
          <t>for circular pipe with rounded Entry</t>
        </is>
      </c>
    </row>
    <row r="109">
      <c r="A109" t="inlineStr">
        <is>
          <t>For L= 7.50 M and D = 1.00 M</t>
        </is>
      </c>
    </row>
    <row r="110">
      <c r="A110" t="inlineStr">
        <is>
          <t>The Conveyance Factor y = 0.686</t>
        </is>
      </c>
    </row>
    <row r="111">
      <c r="A111" t="inlineStr">
        <is>
          <t>Q = y/gh</t>
        </is>
      </c>
    </row>
    <row r="112">
      <c r="A112">
        <f> 0.686 _/ 2 9.8 1.00</f>
        <v/>
      </c>
    </row>
    <row r="113">
      <c r="A113">
        <f> 3.037051 cumecs.</f>
        <v/>
      </c>
    </row>
    <row r="114">
      <c r="A114" t="inlineStr">
        <is>
          <t>No. Of Pipes = 5.956491 = 1.96127] Nos.</t>
        </is>
      </c>
    </row>
    <row r="115">
      <c r="A115" t="inlineStr">
        <is>
          <t>3.037051</t>
        </is>
      </c>
    </row>
    <row r="116">
      <c r="A116" t="inlineStr">
        <is>
          <t>Say 2 Nos. Rows</t>
        </is>
      </c>
    </row>
    <row r="117">
      <c r="A117" t="inlineStr">
        <is>
          <t>Hence provide 1000mm dia R.C.C. Hume plpe 2 Row</t>
        </is>
      </c>
    </row>
    <row r="118">
      <c r="A118" t="inlineStr">
        <is>
          <t>Whondra ed</t>
        </is>
      </c>
    </row>
    <row r="119">
      <c r="A119" t="inlineStr">
        <is>
          <t>NYS. Seat</t>
        </is>
      </c>
    </row>
    <row r="120">
      <c r="A120" t="inlineStr">
        <is>
          <t>Tunlor Prynev</t>
        </is>
      </c>
    </row>
    <row r="121">
      <c r="A121" t="inlineStr">
        <is>
          <t>PUD Sub Br Shor?</t>
        </is>
      </c>
    </row>
    <row r="122">
      <c r="A122" t="inlineStr">
        <is>
          <t>Yaxsam</t>
        </is>
      </c>
    </row>
    <row r="123">
      <c r="A123" t="inlineStr">
        <is>
          <t>(Pavan K</t>
        </is>
      </c>
    </row>
    <row r="124">
      <c r="A124" t="inlineStr">
        <is>
          <t>feaaal</t>
        </is>
      </c>
    </row>
    <row r="125">
      <c r="A125" t="inlineStr">
        <is>
          <t>awat)</t>
        </is>
      </c>
    </row>
    <row r="126">
      <c r="A126" t="inlineStr">
        <is>
          <t>Assistant Engineer</t>
        </is>
      </c>
    </row>
    <row r="127">
      <c r="A127" t="inlineStr">
        <is>
          <t>PWD Sub Dn Jhonthrl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2025-12-13T05:21:33Z</dcterms:created>
  <dcterms:modified xmlns:dcterms="http://purl.org/dc/terms/" xmlns:xsi="http://www.w3.org/2001/XMLSchema-instance" xsi:type="dcterms:W3CDTF">2025-12-13T05:21:33Z</dcterms:modified>
</cp:coreProperties>
</file>