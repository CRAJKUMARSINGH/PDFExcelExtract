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Rajkumar\Downloads\New folder\"/>
    </mc:Choice>
  </mc:AlternateContent>
  <bookViews>
    <workbookView xWindow="120" yWindow="120" windowWidth="12120" windowHeight="9120"/>
  </bookViews>
  <sheets>
    <sheet name="slab" sheetId="1" r:id="rId1"/>
    <sheet name="FOUNDATION" sheetId="4" r:id="rId2"/>
  </sheets>
  <calcPr calcId="152511"/>
</workbook>
</file>

<file path=xl/calcChain.xml><?xml version="1.0" encoding="utf-8"?>
<calcChain xmlns="http://schemas.openxmlformats.org/spreadsheetml/2006/main">
  <c r="I18" i="4" l="1"/>
  <c r="J18" i="4" s="1"/>
  <c r="I17" i="4"/>
  <c r="J17" i="4" s="1"/>
  <c r="I13" i="4"/>
  <c r="J13" i="4" s="1"/>
  <c r="H12" i="4"/>
  <c r="I12" i="4" s="1"/>
  <c r="J12" i="4" s="1"/>
  <c r="I11" i="4"/>
  <c r="J11" i="4" s="1"/>
  <c r="J10" i="4"/>
  <c r="I10" i="4"/>
  <c r="I9" i="4"/>
  <c r="J9" i="4" s="1"/>
  <c r="I8" i="4"/>
  <c r="J8" i="4" s="1"/>
  <c r="G7" i="4"/>
  <c r="I7" i="4" s="1"/>
  <c r="J7" i="4" s="1"/>
  <c r="J6" i="4"/>
  <c r="I6" i="4"/>
  <c r="I5" i="4"/>
  <c r="J5" i="4" s="1"/>
  <c r="I4" i="4"/>
  <c r="J4" i="4" s="1"/>
  <c r="I3" i="4"/>
  <c r="J3" i="4" s="1"/>
  <c r="J14" i="4" s="1"/>
  <c r="I15" i="4" s="1"/>
  <c r="J15" i="4" s="1"/>
  <c r="J19" i="4" s="1"/>
  <c r="I18" i="1"/>
  <c r="J18" i="1" s="1"/>
  <c r="I17" i="1"/>
  <c r="J17" i="1" s="1"/>
  <c r="H12" i="1"/>
  <c r="I12" i="1" s="1"/>
  <c r="J12" i="1" s="1"/>
  <c r="I13" i="1"/>
  <c r="I11" i="1"/>
  <c r="I10" i="1"/>
  <c r="J10" i="1" s="1"/>
  <c r="I9" i="1"/>
  <c r="J9" i="1" s="1"/>
  <c r="I8" i="1"/>
  <c r="J8" i="1"/>
  <c r="G7" i="1"/>
  <c r="I7" i="1" s="1"/>
  <c r="J7" i="1" s="1"/>
  <c r="I4" i="1"/>
  <c r="J4" i="1" s="1"/>
  <c r="I3" i="1"/>
  <c r="J3" i="1" s="1"/>
  <c r="J11" i="1"/>
  <c r="I6" i="1"/>
  <c r="J6" i="1" s="1"/>
  <c r="I5" i="1"/>
  <c r="J5" i="1" s="1"/>
  <c r="J13" i="1" l="1"/>
  <c r="J14" i="1" s="1"/>
  <c r="I15" i="1" s="1"/>
  <c r="J15" i="1" s="1"/>
  <c r="J19" i="1" s="1"/>
</calcChain>
</file>

<file path=xl/sharedStrings.xml><?xml version="1.0" encoding="utf-8"?>
<sst xmlns="http://schemas.openxmlformats.org/spreadsheetml/2006/main" count="90" uniqueCount="40">
  <si>
    <t>LOCATION</t>
  </si>
  <si>
    <t>BAR MKD</t>
  </si>
  <si>
    <t>SHAPE</t>
  </si>
  <si>
    <t>DIA
(m m)</t>
  </si>
  <si>
    <t>SPACING
(m m)</t>
  </si>
  <si>
    <t>LENGTH
(m m)</t>
  </si>
  <si>
    <t>NOS</t>
  </si>
  <si>
    <t>TOTAL
LENGTH(m)</t>
  </si>
  <si>
    <t>WEIGHT
(Kg.)</t>
  </si>
  <si>
    <t>SL.No.</t>
  </si>
  <si>
    <t>SLAB TOP
ALONG- X</t>
  </si>
  <si>
    <t>KERB- 
TOP</t>
  </si>
  <si>
    <t>KERB- 
SIDES</t>
  </si>
  <si>
    <t>KERB- 
STIRRUPS</t>
  </si>
  <si>
    <t>a1</t>
  </si>
  <si>
    <t>a2</t>
  </si>
  <si>
    <t>a3</t>
  </si>
  <si>
    <t>a4</t>
  </si>
  <si>
    <t>a5</t>
  </si>
  <si>
    <t>b1</t>
  </si>
  <si>
    <t>b2</t>
  </si>
  <si>
    <t>b3</t>
  </si>
  <si>
    <t>-</t>
  </si>
  <si>
    <t>SCHEDULE OF REINFORCEMENT (PER SPAN)</t>
  </si>
  <si>
    <t xml:space="preserve">SLAB BOTTOM ALONG- X </t>
  </si>
  <si>
    <t>SLAB BOTTOM ALONG- Y</t>
  </si>
  <si>
    <t>SLAB SIDE ALONG-Y</t>
  </si>
  <si>
    <t>SLAB TOP
ALONG- Y</t>
  </si>
  <si>
    <t>KERB- 
BOTOM</t>
  </si>
  <si>
    <t>b4</t>
  </si>
  <si>
    <t>Wearing Course X</t>
  </si>
  <si>
    <t>Wearing Course y</t>
  </si>
  <si>
    <t>OVERLAPS</t>
  </si>
  <si>
    <t>SLAB 1,2 AND 3 (28+26+30)</t>
  </si>
  <si>
    <t>SLAB 1,2 AND 3 (31+33+27)</t>
  </si>
  <si>
    <t>qty for 3 slabs</t>
  </si>
  <si>
    <t>x</t>
  </si>
  <si>
    <t>TOTAL</t>
  </si>
  <si>
    <t>DRG. NO.SD/114</t>
  </si>
  <si>
    <t>SCHEDULE OF REINFORCEMENT (FOUNDATION)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</si>
</sst>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top" wrapText="1"/>
    </xf>
    <xf numFmtId="2" fontId="0" fillId="0" borderId="0" xfId="0" applyNumberForma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quotePrefix="1" applyFont="1" applyFill="1" applyBorder="1" applyAlignment="1">
      <alignment horizontal="center" vertical="top" wrapText="1"/>
    </xf>
    <xf numFmtId="2" fontId="1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workbookViewId="0">
      <selection activeCell="L8" sqref="L8"/>
    </sheetView>
  </sheetViews>
  <sheetFormatPr defaultRowHeight="12.75" x14ac:dyDescent="0.2"/>
  <cols>
    <col min="1" max="1" width="7.85546875" style="1" customWidth="1"/>
    <col min="2" max="2" width="19.7109375" style="1" customWidth="1"/>
    <col min="3" max="3" width="11.28515625" style="1" customWidth="1"/>
    <col min="4" max="4" width="41.7109375" style="1" customWidth="1"/>
    <col min="5" max="6" width="9.140625" style="2"/>
    <col min="7" max="7" width="11.5703125" style="2" bestFit="1" customWidth="1"/>
    <col min="8" max="8" width="9.140625" style="2"/>
    <col min="9" max="9" width="11.28515625" style="8" customWidth="1"/>
    <col min="10" max="10" width="9.140625" style="2"/>
    <col min="11" max="12" width="9.140625" style="1"/>
    <col min="13" max="13" width="11.5703125" style="1" bestFit="1" customWidth="1"/>
    <col min="14" max="16384" width="9.140625" style="1"/>
  </cols>
  <sheetData>
    <row r="1" spans="1:12" ht="18.75" customHeight="1" x14ac:dyDescent="0.2">
      <c r="A1" s="5" t="s">
        <v>23</v>
      </c>
      <c r="H1" s="10" t="s">
        <v>38</v>
      </c>
      <c r="I1" s="10"/>
      <c r="J1" s="10"/>
    </row>
    <row r="2" spans="1:12" ht="38.25" x14ac:dyDescent="0.2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7" t="s">
        <v>7</v>
      </c>
      <c r="J2" s="3" t="s">
        <v>8</v>
      </c>
    </row>
    <row r="3" spans="1:12" ht="32.1" customHeight="1" x14ac:dyDescent="0.2">
      <c r="A3" s="3">
        <v>1</v>
      </c>
      <c r="B3" s="11" t="s">
        <v>24</v>
      </c>
      <c r="C3" s="3" t="s">
        <v>14</v>
      </c>
      <c r="D3" s="4"/>
      <c r="E3" s="3">
        <v>25</v>
      </c>
      <c r="F3" s="3">
        <v>125</v>
      </c>
      <c r="G3" s="3">
        <v>11150</v>
      </c>
      <c r="H3" s="3">
        <v>67</v>
      </c>
      <c r="I3" s="7">
        <f t="shared" ref="I3:I13" si="0">G3*H3/1000</f>
        <v>747.05</v>
      </c>
      <c r="J3" s="3">
        <f t="shared" ref="J3:J8" si="1">ROUNDUP(ROUNDUP((3.14/4)*0.785*E3*E3/100,1)*I3,0)</f>
        <v>2914</v>
      </c>
      <c r="L3" s="9"/>
    </row>
    <row r="4" spans="1:12" ht="32.1" customHeight="1" x14ac:dyDescent="0.2">
      <c r="A4" s="3">
        <v>2</v>
      </c>
      <c r="B4" s="11" t="s">
        <v>25</v>
      </c>
      <c r="C4" s="3" t="s">
        <v>15</v>
      </c>
      <c r="D4" s="4"/>
      <c r="E4" s="3">
        <v>12</v>
      </c>
      <c r="F4" s="3">
        <v>115</v>
      </c>
      <c r="G4" s="3">
        <v>8830</v>
      </c>
      <c r="H4" s="3">
        <v>94</v>
      </c>
      <c r="I4" s="7">
        <f t="shared" si="0"/>
        <v>830.02</v>
      </c>
      <c r="J4" s="3">
        <f t="shared" si="1"/>
        <v>748</v>
      </c>
    </row>
    <row r="5" spans="1:12" ht="32.1" customHeight="1" x14ac:dyDescent="0.2">
      <c r="A5" s="3">
        <v>3</v>
      </c>
      <c r="B5" s="11" t="s">
        <v>26</v>
      </c>
      <c r="C5" s="3" t="s">
        <v>16</v>
      </c>
      <c r="D5" s="4"/>
      <c r="E5" s="3">
        <v>10</v>
      </c>
      <c r="F5" s="3"/>
      <c r="G5" s="3">
        <v>11900</v>
      </c>
      <c r="H5" s="3">
        <v>2</v>
      </c>
      <c r="I5" s="7">
        <f t="shared" si="0"/>
        <v>23.8</v>
      </c>
      <c r="J5" s="3">
        <f t="shared" si="1"/>
        <v>17</v>
      </c>
    </row>
    <row r="6" spans="1:12" ht="32.1" customHeight="1" x14ac:dyDescent="0.2">
      <c r="A6" s="3">
        <v>4</v>
      </c>
      <c r="B6" s="4" t="s">
        <v>10</v>
      </c>
      <c r="C6" s="3" t="s">
        <v>17</v>
      </c>
      <c r="D6" s="4"/>
      <c r="E6" s="3">
        <v>10</v>
      </c>
      <c r="F6" s="3">
        <v>125</v>
      </c>
      <c r="G6" s="3">
        <v>11240</v>
      </c>
      <c r="H6" s="3">
        <v>64</v>
      </c>
      <c r="I6" s="7">
        <f t="shared" si="0"/>
        <v>719.36</v>
      </c>
      <c r="J6" s="3">
        <f t="shared" si="1"/>
        <v>504</v>
      </c>
    </row>
    <row r="7" spans="1:12" ht="32.1" customHeight="1" x14ac:dyDescent="0.2">
      <c r="A7" s="3">
        <v>5</v>
      </c>
      <c r="B7" s="11" t="s">
        <v>27</v>
      </c>
      <c r="C7" s="3" t="s">
        <v>18</v>
      </c>
      <c r="D7" s="4"/>
      <c r="E7" s="3">
        <v>10</v>
      </c>
      <c r="F7" s="3">
        <v>125</v>
      </c>
      <c r="G7" s="3">
        <f>11600-2600</f>
        <v>9000</v>
      </c>
      <c r="H7" s="3">
        <v>84</v>
      </c>
      <c r="I7" s="7">
        <f t="shared" si="0"/>
        <v>756</v>
      </c>
      <c r="J7" s="3">
        <f t="shared" si="1"/>
        <v>530</v>
      </c>
    </row>
    <row r="8" spans="1:12" ht="32.1" customHeight="1" x14ac:dyDescent="0.2">
      <c r="A8" s="3">
        <v>10</v>
      </c>
      <c r="B8" s="11" t="s">
        <v>28</v>
      </c>
      <c r="C8" s="3" t="s">
        <v>19</v>
      </c>
      <c r="D8" s="4"/>
      <c r="E8" s="3">
        <v>12</v>
      </c>
      <c r="F8" s="3" t="s">
        <v>22</v>
      </c>
      <c r="G8" s="3">
        <v>11500</v>
      </c>
      <c r="H8" s="3">
        <v>8</v>
      </c>
      <c r="I8" s="7">
        <f t="shared" si="0"/>
        <v>92</v>
      </c>
      <c r="J8" s="3">
        <f t="shared" si="1"/>
        <v>83</v>
      </c>
    </row>
    <row r="9" spans="1:12" ht="32.1" customHeight="1" x14ac:dyDescent="0.2">
      <c r="A9" s="3">
        <v>11</v>
      </c>
      <c r="B9" s="4" t="s">
        <v>11</v>
      </c>
      <c r="C9" s="12" t="s">
        <v>20</v>
      </c>
      <c r="D9" s="4"/>
      <c r="E9" s="3">
        <v>12</v>
      </c>
      <c r="F9" s="3" t="s">
        <v>22</v>
      </c>
      <c r="G9" s="3">
        <v>11530</v>
      </c>
      <c r="H9" s="3">
        <v>8</v>
      </c>
      <c r="I9" s="7">
        <f t="shared" si="0"/>
        <v>92.24</v>
      </c>
      <c r="J9" s="3">
        <f t="shared" ref="J9:J18" si="2">ROUNDUP(ROUNDUP((3.14/4)*0.785*E9*E9/100,1)*I9,0)</f>
        <v>84</v>
      </c>
    </row>
    <row r="10" spans="1:12" ht="32.1" customHeight="1" x14ac:dyDescent="0.2">
      <c r="A10" s="3">
        <v>11</v>
      </c>
      <c r="B10" s="4" t="s">
        <v>12</v>
      </c>
      <c r="C10" s="12" t="s">
        <v>21</v>
      </c>
      <c r="D10" s="4"/>
      <c r="E10" s="3">
        <v>10</v>
      </c>
      <c r="F10" s="3" t="s">
        <v>22</v>
      </c>
      <c r="G10" s="3">
        <v>10840</v>
      </c>
      <c r="H10" s="3">
        <v>8</v>
      </c>
      <c r="I10" s="7">
        <f t="shared" si="0"/>
        <v>86.72</v>
      </c>
      <c r="J10" s="3">
        <f t="shared" si="2"/>
        <v>61</v>
      </c>
    </row>
    <row r="11" spans="1:12" ht="32.1" customHeight="1" x14ac:dyDescent="0.2">
      <c r="A11" s="3">
        <v>12</v>
      </c>
      <c r="B11" s="4" t="s">
        <v>13</v>
      </c>
      <c r="C11" s="12" t="s">
        <v>29</v>
      </c>
      <c r="D11" s="4"/>
      <c r="E11" s="3">
        <v>10</v>
      </c>
      <c r="F11" s="3">
        <v>200</v>
      </c>
      <c r="G11" s="3">
        <v>2870</v>
      </c>
      <c r="H11" s="3">
        <v>76</v>
      </c>
      <c r="I11" s="7">
        <f t="shared" si="0"/>
        <v>218.12</v>
      </c>
      <c r="J11" s="3">
        <f t="shared" si="2"/>
        <v>153</v>
      </c>
    </row>
    <row r="12" spans="1:12" ht="32.1" customHeight="1" x14ac:dyDescent="0.2">
      <c r="A12" s="3">
        <v>13</v>
      </c>
      <c r="B12" s="11" t="s">
        <v>30</v>
      </c>
      <c r="C12" s="3"/>
      <c r="D12" s="4"/>
      <c r="E12" s="3">
        <v>12</v>
      </c>
      <c r="F12" s="3">
        <v>150</v>
      </c>
      <c r="G12" s="3">
        <v>7900</v>
      </c>
      <c r="H12" s="3">
        <f>10000/125</f>
        <v>80</v>
      </c>
      <c r="I12" s="7">
        <f t="shared" si="0"/>
        <v>632</v>
      </c>
      <c r="J12" s="3">
        <f t="shared" si="2"/>
        <v>569</v>
      </c>
    </row>
    <row r="13" spans="1:12" ht="32.1" customHeight="1" x14ac:dyDescent="0.2">
      <c r="A13" s="3">
        <v>14</v>
      </c>
      <c r="B13" s="11" t="s">
        <v>31</v>
      </c>
      <c r="C13" s="3"/>
      <c r="D13" s="4"/>
      <c r="E13" s="3">
        <v>12</v>
      </c>
      <c r="F13" s="3">
        <v>150</v>
      </c>
      <c r="G13" s="3">
        <v>10000</v>
      </c>
      <c r="H13" s="3">
        <v>67</v>
      </c>
      <c r="I13" s="7">
        <f t="shared" si="0"/>
        <v>670</v>
      </c>
      <c r="J13" s="3">
        <f t="shared" si="2"/>
        <v>603</v>
      </c>
    </row>
    <row r="14" spans="1:12" ht="32.1" customHeight="1" x14ac:dyDescent="0.2">
      <c r="A14" s="3"/>
      <c r="B14" s="15"/>
      <c r="C14" s="16"/>
      <c r="D14" s="4"/>
      <c r="E14" s="3"/>
      <c r="F14" s="3"/>
      <c r="G14" s="3"/>
      <c r="H14" s="3"/>
      <c r="I14" s="7"/>
      <c r="J14" s="3">
        <f>SUM(J3:J13)</f>
        <v>6266</v>
      </c>
    </row>
    <row r="15" spans="1:12" s="19" customFormat="1" ht="32.1" customHeight="1" x14ac:dyDescent="0.2">
      <c r="A15" s="6"/>
      <c r="B15" s="17"/>
      <c r="C15" s="18"/>
      <c r="D15" s="20" t="s">
        <v>35</v>
      </c>
      <c r="E15" s="21"/>
      <c r="F15" s="21"/>
      <c r="G15" s="21">
        <v>3</v>
      </c>
      <c r="H15" s="22" t="s">
        <v>36</v>
      </c>
      <c r="I15" s="23">
        <f>J14</f>
        <v>6266</v>
      </c>
      <c r="J15" s="21">
        <f>G15*I15</f>
        <v>18798</v>
      </c>
    </row>
    <row r="16" spans="1:12" ht="32.1" customHeight="1" x14ac:dyDescent="0.2">
      <c r="A16" s="3"/>
      <c r="B16" s="13" t="s">
        <v>32</v>
      </c>
      <c r="C16" s="14"/>
      <c r="D16" s="4"/>
      <c r="E16" s="3"/>
      <c r="F16" s="3"/>
      <c r="G16" s="3"/>
      <c r="H16" s="3"/>
      <c r="I16" s="7"/>
      <c r="J16" s="3"/>
    </row>
    <row r="17" spans="1:12" ht="32.1" customHeight="1" x14ac:dyDescent="0.2">
      <c r="A17" s="3"/>
      <c r="B17" s="11" t="s">
        <v>24</v>
      </c>
      <c r="C17" s="3" t="s">
        <v>14</v>
      </c>
      <c r="D17" s="11" t="s">
        <v>33</v>
      </c>
      <c r="E17" s="3">
        <v>25</v>
      </c>
      <c r="F17" s="3"/>
      <c r="G17" s="3">
        <v>2050</v>
      </c>
      <c r="H17" s="3">
        <v>84</v>
      </c>
      <c r="I17" s="7">
        <f t="shared" ref="I17:I18" si="3">G17*H17/1000</f>
        <v>172.2</v>
      </c>
      <c r="J17" s="3">
        <f t="shared" si="2"/>
        <v>672</v>
      </c>
      <c r="L17" s="9"/>
    </row>
    <row r="18" spans="1:12" ht="32.1" customHeight="1" x14ac:dyDescent="0.2">
      <c r="A18" s="3"/>
      <c r="B18" s="11" t="s">
        <v>25</v>
      </c>
      <c r="C18" s="3" t="s">
        <v>15</v>
      </c>
      <c r="D18" s="11" t="s">
        <v>34</v>
      </c>
      <c r="E18" s="3">
        <v>12</v>
      </c>
      <c r="F18" s="3"/>
      <c r="G18" s="3">
        <v>9600</v>
      </c>
      <c r="H18" s="3">
        <v>91</v>
      </c>
      <c r="I18" s="7">
        <f t="shared" si="3"/>
        <v>873.6</v>
      </c>
      <c r="J18" s="3">
        <f t="shared" si="2"/>
        <v>787</v>
      </c>
    </row>
    <row r="19" spans="1:12" ht="32.1" customHeight="1" x14ac:dyDescent="0.2">
      <c r="A19" s="3"/>
      <c r="B19" s="11"/>
      <c r="C19" s="3"/>
      <c r="D19" s="11"/>
      <c r="E19" s="3"/>
      <c r="F19" s="3"/>
      <c r="G19" s="3"/>
      <c r="H19" s="12" t="s">
        <v>37</v>
      </c>
      <c r="I19" s="7"/>
      <c r="J19" s="6">
        <f>J15+J17+J18</f>
        <v>20257</v>
      </c>
    </row>
  </sheetData>
  <mergeCells count="2">
    <mergeCell ref="H1:J1"/>
    <mergeCell ref="B16:C16"/>
  </mergeCells>
  <phoneticPr fontId="2" type="noConversion"/>
  <printOptions horizontalCentered="1" verticalCentered="1"/>
  <pageMargins left="0.75" right="0.75" top="0.5" bottom="0.75" header="0.5" footer="0.5"/>
  <pageSetup paperSize="9" scale="8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opLeftCell="A10" workbookViewId="0">
      <selection activeCell="D21" sqref="D21"/>
    </sheetView>
  </sheetViews>
  <sheetFormatPr defaultRowHeight="12.75" x14ac:dyDescent="0.2"/>
  <cols>
    <col min="1" max="1" width="7.85546875" style="1" customWidth="1"/>
    <col min="2" max="2" width="19.7109375" style="1" customWidth="1"/>
    <col min="3" max="3" width="11.28515625" style="1" customWidth="1"/>
    <col min="4" max="4" width="41.7109375" style="1" customWidth="1"/>
    <col min="5" max="6" width="9.140625" style="2"/>
    <col min="7" max="7" width="11.5703125" style="2" bestFit="1" customWidth="1"/>
    <col min="8" max="8" width="9.140625" style="2"/>
    <col min="9" max="9" width="11.28515625" style="8" customWidth="1"/>
    <col min="10" max="10" width="9.140625" style="2"/>
    <col min="11" max="12" width="9.140625" style="1"/>
    <col min="13" max="13" width="11.5703125" style="1" bestFit="1" customWidth="1"/>
    <col min="14" max="16384" width="9.140625" style="1"/>
  </cols>
  <sheetData>
    <row r="1" spans="1:12" ht="18.75" customHeight="1" x14ac:dyDescent="0.2">
      <c r="A1" s="5" t="s">
        <v>39</v>
      </c>
      <c r="H1" s="10" t="s">
        <v>38</v>
      </c>
      <c r="I1" s="10"/>
      <c r="J1" s="10"/>
    </row>
    <row r="2" spans="1:12" ht="38.25" x14ac:dyDescent="0.2">
      <c r="A2" s="3" t="s">
        <v>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7" t="s">
        <v>7</v>
      </c>
      <c r="J2" s="3" t="s">
        <v>8</v>
      </c>
    </row>
    <row r="3" spans="1:12" ht="32.1" customHeight="1" x14ac:dyDescent="0.2">
      <c r="A3" s="3">
        <v>1</v>
      </c>
      <c r="B3" s="11" t="s">
        <v>24</v>
      </c>
      <c r="C3" s="3" t="s">
        <v>14</v>
      </c>
      <c r="D3" s="4"/>
      <c r="E3" s="3">
        <v>25</v>
      </c>
      <c r="F3" s="3">
        <v>125</v>
      </c>
      <c r="G3" s="3">
        <v>11150</v>
      </c>
      <c r="H3" s="3">
        <v>67</v>
      </c>
      <c r="I3" s="7">
        <f t="shared" ref="I3:I13" si="0">G3*H3/1000</f>
        <v>747.05</v>
      </c>
      <c r="J3" s="3">
        <f t="shared" ref="J3:J18" si="1">ROUNDUP(ROUNDUP((3.14/4)*0.785*E3*E3/100,1)*I3,0)</f>
        <v>2914</v>
      </c>
      <c r="L3" s="9"/>
    </row>
    <row r="4" spans="1:12" ht="32.1" customHeight="1" x14ac:dyDescent="0.2">
      <c r="A4" s="3">
        <v>2</v>
      </c>
      <c r="B4" s="11" t="s">
        <v>25</v>
      </c>
      <c r="C4" s="3" t="s">
        <v>15</v>
      </c>
      <c r="D4" s="4"/>
      <c r="E4" s="3">
        <v>12</v>
      </c>
      <c r="F4" s="3">
        <v>115</v>
      </c>
      <c r="G4" s="3">
        <v>8830</v>
      </c>
      <c r="H4" s="3">
        <v>94</v>
      </c>
      <c r="I4" s="7">
        <f t="shared" si="0"/>
        <v>830.02</v>
      </c>
      <c r="J4" s="3">
        <f t="shared" si="1"/>
        <v>748</v>
      </c>
    </row>
    <row r="5" spans="1:12" ht="32.1" customHeight="1" x14ac:dyDescent="0.2">
      <c r="A5" s="3">
        <v>3</v>
      </c>
      <c r="B5" s="11" t="s">
        <v>26</v>
      </c>
      <c r="C5" s="3" t="s">
        <v>16</v>
      </c>
      <c r="D5" s="4"/>
      <c r="E5" s="3">
        <v>10</v>
      </c>
      <c r="F5" s="3"/>
      <c r="G5" s="3">
        <v>11900</v>
      </c>
      <c r="H5" s="3">
        <v>2</v>
      </c>
      <c r="I5" s="7">
        <f t="shared" si="0"/>
        <v>23.8</v>
      </c>
      <c r="J5" s="3">
        <f t="shared" si="1"/>
        <v>17</v>
      </c>
    </row>
    <row r="6" spans="1:12" ht="32.1" customHeight="1" x14ac:dyDescent="0.2">
      <c r="A6" s="3">
        <v>4</v>
      </c>
      <c r="B6" s="4" t="s">
        <v>10</v>
      </c>
      <c r="C6" s="3" t="s">
        <v>17</v>
      </c>
      <c r="D6" s="4"/>
      <c r="E6" s="3">
        <v>10</v>
      </c>
      <c r="F6" s="3">
        <v>125</v>
      </c>
      <c r="G6" s="3">
        <v>11240</v>
      </c>
      <c r="H6" s="3">
        <v>64</v>
      </c>
      <c r="I6" s="7">
        <f t="shared" si="0"/>
        <v>719.36</v>
      </c>
      <c r="J6" s="3">
        <f t="shared" si="1"/>
        <v>504</v>
      </c>
    </row>
    <row r="7" spans="1:12" ht="32.1" customHeight="1" x14ac:dyDescent="0.2">
      <c r="A7" s="3">
        <v>5</v>
      </c>
      <c r="B7" s="11" t="s">
        <v>27</v>
      </c>
      <c r="C7" s="3" t="s">
        <v>18</v>
      </c>
      <c r="D7" s="4"/>
      <c r="E7" s="3">
        <v>10</v>
      </c>
      <c r="F7" s="3">
        <v>125</v>
      </c>
      <c r="G7" s="3">
        <f>11600-2600</f>
        <v>9000</v>
      </c>
      <c r="H7" s="3">
        <v>84</v>
      </c>
      <c r="I7" s="7">
        <f t="shared" si="0"/>
        <v>756</v>
      </c>
      <c r="J7" s="3">
        <f t="shared" si="1"/>
        <v>530</v>
      </c>
    </row>
    <row r="8" spans="1:12" ht="32.1" customHeight="1" x14ac:dyDescent="0.2">
      <c r="A8" s="3">
        <v>10</v>
      </c>
      <c r="B8" s="11" t="s">
        <v>28</v>
      </c>
      <c r="C8" s="3" t="s">
        <v>19</v>
      </c>
      <c r="D8" s="4"/>
      <c r="E8" s="3">
        <v>12</v>
      </c>
      <c r="F8" s="3" t="s">
        <v>22</v>
      </c>
      <c r="G8" s="3">
        <v>11500</v>
      </c>
      <c r="H8" s="3">
        <v>8</v>
      </c>
      <c r="I8" s="7">
        <f t="shared" si="0"/>
        <v>92</v>
      </c>
      <c r="J8" s="3">
        <f t="shared" si="1"/>
        <v>83</v>
      </c>
    </row>
    <row r="9" spans="1:12" ht="32.1" customHeight="1" x14ac:dyDescent="0.2">
      <c r="A9" s="3">
        <v>11</v>
      </c>
      <c r="B9" s="4" t="s">
        <v>11</v>
      </c>
      <c r="C9" s="12" t="s">
        <v>20</v>
      </c>
      <c r="D9" s="4"/>
      <c r="E9" s="3">
        <v>12</v>
      </c>
      <c r="F9" s="3" t="s">
        <v>22</v>
      </c>
      <c r="G9" s="3">
        <v>11530</v>
      </c>
      <c r="H9" s="3">
        <v>8</v>
      </c>
      <c r="I9" s="7">
        <f t="shared" si="0"/>
        <v>92.24</v>
      </c>
      <c r="J9" s="3">
        <f t="shared" si="1"/>
        <v>84</v>
      </c>
    </row>
    <row r="10" spans="1:12" ht="32.1" customHeight="1" x14ac:dyDescent="0.2">
      <c r="A10" s="3">
        <v>11</v>
      </c>
      <c r="B10" s="4" t="s">
        <v>12</v>
      </c>
      <c r="C10" s="12" t="s">
        <v>21</v>
      </c>
      <c r="D10" s="4"/>
      <c r="E10" s="3">
        <v>10</v>
      </c>
      <c r="F10" s="3" t="s">
        <v>22</v>
      </c>
      <c r="G10" s="3">
        <v>10840</v>
      </c>
      <c r="H10" s="3">
        <v>8</v>
      </c>
      <c r="I10" s="7">
        <f t="shared" si="0"/>
        <v>86.72</v>
      </c>
      <c r="J10" s="3">
        <f t="shared" si="1"/>
        <v>61</v>
      </c>
    </row>
    <row r="11" spans="1:12" ht="32.1" customHeight="1" x14ac:dyDescent="0.2">
      <c r="A11" s="3">
        <v>12</v>
      </c>
      <c r="B11" s="4" t="s">
        <v>13</v>
      </c>
      <c r="C11" s="12" t="s">
        <v>29</v>
      </c>
      <c r="D11" s="4"/>
      <c r="E11" s="3">
        <v>10</v>
      </c>
      <c r="F11" s="3">
        <v>200</v>
      </c>
      <c r="G11" s="3">
        <v>2870</v>
      </c>
      <c r="H11" s="3">
        <v>76</v>
      </c>
      <c r="I11" s="7">
        <f t="shared" si="0"/>
        <v>218.12</v>
      </c>
      <c r="J11" s="3">
        <f t="shared" si="1"/>
        <v>153</v>
      </c>
    </row>
    <row r="12" spans="1:12" ht="32.1" customHeight="1" x14ac:dyDescent="0.2">
      <c r="A12" s="3">
        <v>13</v>
      </c>
      <c r="B12" s="11" t="s">
        <v>30</v>
      </c>
      <c r="C12" s="3"/>
      <c r="D12" s="4"/>
      <c r="E12" s="3">
        <v>12</v>
      </c>
      <c r="F12" s="3">
        <v>150</v>
      </c>
      <c r="G12" s="3">
        <v>7900</v>
      </c>
      <c r="H12" s="3">
        <f>10000/125</f>
        <v>80</v>
      </c>
      <c r="I12" s="7">
        <f t="shared" si="0"/>
        <v>632</v>
      </c>
      <c r="J12" s="3">
        <f t="shared" si="1"/>
        <v>569</v>
      </c>
    </row>
    <row r="13" spans="1:12" ht="32.1" customHeight="1" x14ac:dyDescent="0.2">
      <c r="A13" s="3">
        <v>14</v>
      </c>
      <c r="B13" s="11" t="s">
        <v>31</v>
      </c>
      <c r="C13" s="3"/>
      <c r="D13" s="4"/>
      <c r="E13" s="3">
        <v>12</v>
      </c>
      <c r="F13" s="3">
        <v>150</v>
      </c>
      <c r="G13" s="3">
        <v>10000</v>
      </c>
      <c r="H13" s="3">
        <v>67</v>
      </c>
      <c r="I13" s="7">
        <f t="shared" si="0"/>
        <v>670</v>
      </c>
      <c r="J13" s="3">
        <f t="shared" si="1"/>
        <v>603</v>
      </c>
    </row>
    <row r="14" spans="1:12" ht="32.1" customHeight="1" x14ac:dyDescent="0.2">
      <c r="A14" s="3"/>
      <c r="B14" s="15"/>
      <c r="C14" s="16"/>
      <c r="D14" s="4"/>
      <c r="E14" s="3"/>
      <c r="F14" s="3"/>
      <c r="G14" s="3"/>
      <c r="H14" s="3"/>
      <c r="I14" s="7"/>
      <c r="J14" s="3">
        <f>SUM(J3:J13)</f>
        <v>6266</v>
      </c>
    </row>
    <row r="15" spans="1:12" s="19" customFormat="1" ht="32.1" customHeight="1" x14ac:dyDescent="0.2">
      <c r="A15" s="6"/>
      <c r="B15" s="17"/>
      <c r="C15" s="18"/>
      <c r="D15" s="20" t="s">
        <v>35</v>
      </c>
      <c r="E15" s="21"/>
      <c r="F15" s="21"/>
      <c r="G15" s="21">
        <v>3</v>
      </c>
      <c r="H15" s="22" t="s">
        <v>36</v>
      </c>
      <c r="I15" s="23">
        <f>J14</f>
        <v>6266</v>
      </c>
      <c r="J15" s="21">
        <f>G15*I15</f>
        <v>18798</v>
      </c>
    </row>
    <row r="16" spans="1:12" ht="32.1" customHeight="1" x14ac:dyDescent="0.2">
      <c r="A16" s="3"/>
      <c r="B16" s="13" t="s">
        <v>32</v>
      </c>
      <c r="C16" s="14"/>
      <c r="D16" s="4"/>
      <c r="E16" s="3"/>
      <c r="F16" s="3"/>
      <c r="G16" s="3"/>
      <c r="H16" s="3"/>
      <c r="I16" s="7"/>
      <c r="J16" s="3"/>
    </row>
    <row r="17" spans="1:12" ht="32.1" customHeight="1" x14ac:dyDescent="0.2">
      <c r="A17" s="3"/>
      <c r="B17" s="11" t="s">
        <v>24</v>
      </c>
      <c r="C17" s="3" t="s">
        <v>14</v>
      </c>
      <c r="D17" s="11" t="s">
        <v>33</v>
      </c>
      <c r="E17" s="3">
        <v>25</v>
      </c>
      <c r="F17" s="3"/>
      <c r="G17" s="3">
        <v>2050</v>
      </c>
      <c r="H17" s="3">
        <v>84</v>
      </c>
      <c r="I17" s="7">
        <f t="shared" ref="I17:I18" si="2">G17*H17/1000</f>
        <v>172.2</v>
      </c>
      <c r="J17" s="3">
        <f t="shared" si="1"/>
        <v>672</v>
      </c>
      <c r="L17" s="9"/>
    </row>
    <row r="18" spans="1:12" ht="32.1" customHeight="1" x14ac:dyDescent="0.2">
      <c r="A18" s="3"/>
      <c r="B18" s="11" t="s">
        <v>25</v>
      </c>
      <c r="C18" s="3" t="s">
        <v>15</v>
      </c>
      <c r="D18" s="11" t="s">
        <v>34</v>
      </c>
      <c r="E18" s="3">
        <v>12</v>
      </c>
      <c r="F18" s="3"/>
      <c r="G18" s="3">
        <v>9600</v>
      </c>
      <c r="H18" s="3">
        <v>91</v>
      </c>
      <c r="I18" s="7">
        <f t="shared" si="2"/>
        <v>873.6</v>
      </c>
      <c r="J18" s="3">
        <f t="shared" si="1"/>
        <v>787</v>
      </c>
    </row>
    <row r="19" spans="1:12" ht="32.1" customHeight="1" x14ac:dyDescent="0.2">
      <c r="A19" s="3"/>
      <c r="B19" s="11"/>
      <c r="C19" s="3"/>
      <c r="D19" s="11"/>
      <c r="E19" s="3"/>
      <c r="F19" s="3"/>
      <c r="G19" s="3"/>
      <c r="H19" s="12" t="s">
        <v>37</v>
      </c>
      <c r="I19" s="7"/>
      <c r="J19" s="6">
        <f>J15+J17+J18</f>
        <v>20257</v>
      </c>
    </row>
  </sheetData>
  <mergeCells count="2">
    <mergeCell ref="H1:J1"/>
    <mergeCell ref="B16:C16"/>
  </mergeCells>
  <printOptions horizontalCentered="1" verticalCentered="1"/>
  <pageMargins left="0.75" right="0.75" top="0.5" bottom="0.75" header="0.5" footer="0.5"/>
  <pageSetup paperSize="9" scale="8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slab</vt:lpstr>
      <vt:lpstr>FOUNDATION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</dc:creator>
  <cp:lastModifiedBy>Rajkumar</cp:lastModifiedBy>
  <cp:lastPrinted>2025-11-19T18:38:54Z</cp:lastPrinted>
  <dcterms:created xsi:type="dcterms:W3CDTF">1996-10-14T23:33:28Z</dcterms:created>
  <dcterms:modified xsi:type="dcterms:W3CDTF">2025-11-19T19:20:09Z</dcterms:modified>
</cp:coreProperties>
</file>